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b10bb42e83988ba/Desktop/Data analytics/"/>
    </mc:Choice>
  </mc:AlternateContent>
  <xr:revisionPtr revIDLastSave="0" documentId="8_{847D9C17-CD47-4CCE-B899-5BBBC02ABC3D}" xr6:coauthVersionLast="47" xr6:coauthVersionMax="47" xr10:uidLastSave="{00000000-0000-0000-0000-000000000000}"/>
  <bookViews>
    <workbookView xWindow="-108" yWindow="-108" windowWidth="23256" windowHeight="12456" xr2:uid="{268FBB28-AD71-438C-8F5C-30AACCB714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1" l="1"/>
  <c r="C14" i="1"/>
  <c r="B13" i="1"/>
  <c r="C13" i="1"/>
  <c r="C12" i="1"/>
  <c r="B12" i="1"/>
  <c r="C11" i="1"/>
  <c r="B11" i="1"/>
  <c r="C10" i="1"/>
  <c r="C9" i="1"/>
  <c r="C8" i="1"/>
  <c r="B10" i="1"/>
  <c r="B9" i="1"/>
  <c r="B8" i="1"/>
</calcChain>
</file>

<file path=xl/sharedStrings.xml><?xml version="1.0" encoding="utf-8"?>
<sst xmlns="http://schemas.openxmlformats.org/spreadsheetml/2006/main" count="69" uniqueCount="47">
  <si>
    <t>Student</t>
  </si>
  <si>
    <t>Math Marks</t>
  </si>
  <si>
    <t>Science Marks</t>
  </si>
  <si>
    <t>A</t>
  </si>
  <si>
    <t>B</t>
  </si>
  <si>
    <t>C</t>
  </si>
  <si>
    <t>D</t>
  </si>
  <si>
    <t>E</t>
  </si>
  <si>
    <t>Mean</t>
  </si>
  <si>
    <t>Median</t>
  </si>
  <si>
    <t>Mode</t>
  </si>
  <si>
    <t>Range</t>
  </si>
  <si>
    <t>Variance</t>
  </si>
  <si>
    <t>Standard Deviation</t>
  </si>
  <si>
    <t>Correlation</t>
  </si>
  <si>
    <t>Column1</t>
  </si>
  <si>
    <t>Standard Error</t>
  </si>
  <si>
    <t>Sample Variance</t>
  </si>
  <si>
    <t>Kurtosis</t>
  </si>
  <si>
    <t>Skewness</t>
  </si>
  <si>
    <t>Minimum</t>
  </si>
  <si>
    <t>Maximum</t>
  </si>
  <si>
    <t>Sum</t>
  </si>
  <si>
    <t>Count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</si>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</sst>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Bar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F3-493A-BF36-97F819D6FDDB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Science Marks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65</c:v>
                </c:pt>
                <c:pt idx="1">
                  <c:v>70</c:v>
                </c:pt>
                <c:pt idx="2">
                  <c:v>78</c:v>
                </c:pt>
                <c:pt idx="3">
                  <c:v>88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F3-493A-BF36-97F819D6F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005696"/>
        <c:axId val="17005216"/>
        <c:axId val="253394640"/>
      </c:bar3DChart>
      <c:catAx>
        <c:axId val="170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5216"/>
        <c:crosses val="autoZero"/>
        <c:auto val="1"/>
        <c:lblAlgn val="ctr"/>
        <c:lblOffset val="100"/>
        <c:noMultiLvlLbl val="0"/>
      </c:catAx>
      <c:valAx>
        <c:axId val="1700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5696"/>
        <c:crosses val="autoZero"/>
        <c:crossBetween val="between"/>
      </c:valAx>
      <c:serAx>
        <c:axId val="253394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5216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Line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 Marks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6-4B00-8118-E249B645C2B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Science Marks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65</c:v>
                </c:pt>
                <c:pt idx="1">
                  <c:v>70</c:v>
                </c:pt>
                <c:pt idx="2">
                  <c:v>78</c:v>
                </c:pt>
                <c:pt idx="3">
                  <c:v>88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06-4B00-8118-E249B645C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09536"/>
        <c:axId val="17010016"/>
      </c:lineChart>
      <c:catAx>
        <c:axId val="1700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0016"/>
        <c:crosses val="autoZero"/>
        <c:auto val="1"/>
        <c:lblAlgn val="ctr"/>
        <c:lblOffset val="100"/>
        <c:noMultiLvlLbl val="0"/>
      </c:catAx>
      <c:valAx>
        <c:axId val="1701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 chart for Math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Sheet1!$B$1</c:f>
              <c:strCache>
                <c:ptCount val="1"/>
                <c:pt idx="0">
                  <c:v>Math Marks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52C7-4682-BA79-186C0831200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52C7-4682-BA79-186C0831200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52C7-4682-BA79-186C0831200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52C7-4682-BA79-186C0831200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52C7-4682-BA79-186C0831200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2C7-4682-BA79-186C0831200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52C7-4682-BA79-186C08312007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52C7-4682-BA79-186C0831200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52C7-4682-BA79-186C08312007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52C7-4682-BA79-186C08312007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7-4682-BA79-186C08312007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Science Marks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7-52C7-4682-BA79-186C0831200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8-52C7-4682-BA79-186C0831200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9-52C7-4682-BA79-186C0831200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A-52C7-4682-BA79-186C0831200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B-52C7-4682-BA79-186C08312007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52C7-4682-BA79-186C0831200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52C7-4682-BA79-186C08312007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52C7-4682-BA79-186C08312007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52C7-4682-BA79-186C08312007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52C7-4682-BA79-186C08312007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65</c:v>
                </c:pt>
                <c:pt idx="1">
                  <c:v>70</c:v>
                </c:pt>
                <c:pt idx="2">
                  <c:v>78</c:v>
                </c:pt>
                <c:pt idx="3">
                  <c:v>88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C7-4682-BA79-186C08312007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 CHart for Science Marks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Sheet1!$C$1</c:f>
              <c:strCache>
                <c:ptCount val="1"/>
                <c:pt idx="0">
                  <c:v>Science Marks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Pt>
            <c:idx val="4"/>
            <c:bubble3D val="0"/>
            <c:spPr>
              <a:pattFill prst="ltUpDiag">
                <a:fgClr>
                  <a:schemeClr val="accent5"/>
                </a:fgClr>
                <a:bgClr>
                  <a:schemeClr val="accent5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5"/>
                </a:innerShdw>
              </a:effectLst>
            </c:spPr>
          </c:dPt>
          <c:cat>
            <c:strRef>
              <c:f>Sheet1!$A$2:$A$6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65</c:v>
                </c:pt>
                <c:pt idx="1">
                  <c:v>70</c:v>
                </c:pt>
                <c:pt idx="2">
                  <c:v>78</c:v>
                </c:pt>
                <c:pt idx="3">
                  <c:v>88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EA-4B86-A63E-F1C277A7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534</xdr:rowOff>
    </xdr:from>
    <xdr:to>
      <xdr:col>3</xdr:col>
      <xdr:colOff>5328</xdr:colOff>
      <xdr:row>26</xdr:row>
      <xdr:rowOff>10657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E831E7-E519-C7CB-9723-9E96CF0B9E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651281</xdr:colOff>
      <xdr:row>14</xdr:row>
      <xdr:rowOff>176379</xdr:rowOff>
    </xdr:from>
    <xdr:to>
      <xdr:col>7</xdr:col>
      <xdr:colOff>605692</xdr:colOff>
      <xdr:row>25</xdr:row>
      <xdr:rowOff>175846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AE8AE3-9BA1-CD22-7C9C-D817198CC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27</xdr:row>
      <xdr:rowOff>176381</xdr:rowOff>
    </xdr:from>
    <xdr:to>
      <xdr:col>3</xdr:col>
      <xdr:colOff>0</xdr:colOff>
      <xdr:row>39</xdr:row>
      <xdr:rowOff>10657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9D687E-3F7F-A68F-DEDF-BD9E99AB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15983</xdr:colOff>
      <xdr:row>28</xdr:row>
      <xdr:rowOff>6512</xdr:rowOff>
    </xdr:from>
    <xdr:to>
      <xdr:col>8</xdr:col>
      <xdr:colOff>6512</xdr:colOff>
      <xdr:row>38</xdr:row>
      <xdr:rowOff>182358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72F229-C7E2-F905-E2C1-28F8039689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8F5AB-BDA3-4F70-A0E2-988A489FAFCD}" name="Table1" displayName="Table1" ref="A1:C7" totalsRowCount="1" headerRowDxfId="0" dataDxfId="1">
  <autoFilter ref="A1:C6" xr:uid="{D2F8F5AB-BDA3-4F70-A0E2-988A489FAFCD}"/>
  <tableColumns count="3">
    <tableColumn id="1" xr3:uid="{B2C246A2-DB99-4095-9B9E-CA95CF8DC13A}" name="Student" dataDxfId="4"/>
    <tableColumn id="2" xr3:uid="{8F043AE1-1A0C-42D5-958F-8BFD2262B79D}" name="Math Marks" dataDxfId="3"/>
    <tableColumn id="3" xr3:uid="{CF0760DB-71D9-4E92-BF6C-134412A5F9E0}" name="Science Marks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23B9-076E-4D5E-8C77-4F2C1973FDD7}">
  <dimension ref="A1:J74"/>
  <sheetViews>
    <sheetView tabSelected="1" zoomScale="117" workbookViewId="0">
      <selection activeCell="H7" sqref="H7"/>
    </sheetView>
  </sheetViews>
  <sheetFormatPr defaultRowHeight="14.4" x14ac:dyDescent="0.3"/>
  <cols>
    <col min="1" max="1" width="16.77734375" customWidth="1"/>
    <col min="2" max="2" width="12.21875" customWidth="1"/>
    <col min="3" max="3" width="13.88671875" customWidth="1"/>
    <col min="4" max="4" width="9.6640625" customWidth="1"/>
    <col min="5" max="5" width="12.109375" customWidth="1"/>
    <col min="6" max="6" width="12.77734375" customWidth="1"/>
  </cols>
  <sheetData>
    <row r="1" spans="1:3" ht="28.8" x14ac:dyDescent="0.3">
      <c r="A1" s="1" t="s">
        <v>0</v>
      </c>
      <c r="B1" s="1" t="s">
        <v>1</v>
      </c>
      <c r="C1" s="1" t="s">
        <v>2</v>
      </c>
    </row>
    <row r="2" spans="1:3" x14ac:dyDescent="0.3">
      <c r="A2" s="2" t="s">
        <v>3</v>
      </c>
      <c r="B2" s="2">
        <v>70</v>
      </c>
      <c r="C2" s="2">
        <v>65</v>
      </c>
    </row>
    <row r="3" spans="1:3" x14ac:dyDescent="0.3">
      <c r="A3" s="2" t="s">
        <v>4</v>
      </c>
      <c r="B3" s="2">
        <v>75</v>
      </c>
      <c r="C3" s="2">
        <v>70</v>
      </c>
    </row>
    <row r="4" spans="1:3" x14ac:dyDescent="0.3">
      <c r="A4" s="2" t="s">
        <v>5</v>
      </c>
      <c r="B4" s="2">
        <v>80</v>
      </c>
      <c r="C4" s="2">
        <v>78</v>
      </c>
    </row>
    <row r="5" spans="1:3" x14ac:dyDescent="0.3">
      <c r="A5" s="2" t="s">
        <v>6</v>
      </c>
      <c r="B5" s="2">
        <v>85</v>
      </c>
      <c r="C5" s="2">
        <v>88</v>
      </c>
    </row>
    <row r="6" spans="1:3" x14ac:dyDescent="0.3">
      <c r="A6" s="2" t="s">
        <v>7</v>
      </c>
      <c r="B6" s="2">
        <v>90</v>
      </c>
      <c r="C6" s="2">
        <v>88</v>
      </c>
    </row>
    <row r="8" spans="1:3" x14ac:dyDescent="0.3">
      <c r="A8" s="2" t="s">
        <v>8</v>
      </c>
      <c r="B8" s="2">
        <f>SUBTOTAL(101,Table1[Math Marks])</f>
        <v>80</v>
      </c>
      <c r="C8" s="2">
        <f>SUBTOTAL(101,Table1[Science Marks])</f>
        <v>77.8</v>
      </c>
    </row>
    <row r="9" spans="1:3" x14ac:dyDescent="0.3">
      <c r="A9" t="s">
        <v>9</v>
      </c>
      <c r="B9">
        <f>MEDIAN(B2:B6)</f>
        <v>80</v>
      </c>
      <c r="C9">
        <f>MEDIAN(C2:C6)</f>
        <v>78</v>
      </c>
    </row>
    <row r="10" spans="1:3" x14ac:dyDescent="0.3">
      <c r="A10" t="s">
        <v>10</v>
      </c>
      <c r="B10" t="e">
        <f>_xlfn.MODE.SNGL(B2:B6)</f>
        <v>#N/A</v>
      </c>
      <c r="C10">
        <f>_xlfn.MODE.SNGL(C2:C6)</f>
        <v>88</v>
      </c>
    </row>
    <row r="11" spans="1:3" x14ac:dyDescent="0.3">
      <c r="A11" t="s">
        <v>11</v>
      </c>
      <c r="B11">
        <f>MAX(B2:B6)-MIN(B2:B6)</f>
        <v>20</v>
      </c>
      <c r="C11">
        <f>MAX(C2:C6)-MIN(C2:C6)</f>
        <v>23</v>
      </c>
    </row>
    <row r="12" spans="1:3" x14ac:dyDescent="0.3">
      <c r="A12" t="s">
        <v>12</v>
      </c>
      <c r="B12">
        <f>_xlfn.VAR.S(B2:B6)</f>
        <v>62.5</v>
      </c>
      <c r="C12">
        <f>_xlfn.VAR.S(C2:C6)</f>
        <v>108.19999999999982</v>
      </c>
    </row>
    <row r="13" spans="1:3" x14ac:dyDescent="0.3">
      <c r="A13" t="s">
        <v>13</v>
      </c>
      <c r="B13">
        <f>_xlfn.STDEV.S(B2:B6)</f>
        <v>7.9056941504209481</v>
      </c>
      <c r="C13">
        <f>_xlfn.STDEV.S(C2:C6)</f>
        <v>10.401922899156666</v>
      </c>
    </row>
    <row r="14" spans="1:3" x14ac:dyDescent="0.3">
      <c r="A14" t="s">
        <v>14</v>
      </c>
      <c r="B14">
        <f>CORREL(B2:B6,C2:C6)</f>
        <v>0.97282864049677042</v>
      </c>
      <c r="C14">
        <f>CORREL(B2:B6,C2:C6)</f>
        <v>0.97282864049677042</v>
      </c>
    </row>
    <row r="40" spans="2:6" ht="15" thickBot="1" x14ac:dyDescent="0.35"/>
    <row r="41" spans="2:6" x14ac:dyDescent="0.3">
      <c r="B41" s="6" t="s">
        <v>15</v>
      </c>
      <c r="C41" s="6"/>
      <c r="E41" s="6" t="s">
        <v>15</v>
      </c>
      <c r="F41" s="6"/>
    </row>
    <row r="42" spans="2:6" x14ac:dyDescent="0.3">
      <c r="B42" s="3"/>
      <c r="C42" s="3"/>
      <c r="E42" s="3"/>
      <c r="F42" s="3"/>
    </row>
    <row r="43" spans="2:6" x14ac:dyDescent="0.3">
      <c r="B43" s="3" t="s">
        <v>8</v>
      </c>
      <c r="C43" s="3">
        <v>80</v>
      </c>
      <c r="E43" s="3" t="s">
        <v>8</v>
      </c>
      <c r="F43" s="3">
        <v>77.8</v>
      </c>
    </row>
    <row r="44" spans="2:6" x14ac:dyDescent="0.3">
      <c r="B44" s="3" t="s">
        <v>16</v>
      </c>
      <c r="C44" s="3">
        <v>3.5355339059327373</v>
      </c>
      <c r="E44" s="3" t="s">
        <v>16</v>
      </c>
      <c r="F44" s="3">
        <v>4.6518813398451986</v>
      </c>
    </row>
    <row r="45" spans="2:6" x14ac:dyDescent="0.3">
      <c r="B45" s="3" t="s">
        <v>9</v>
      </c>
      <c r="C45" s="3">
        <v>80</v>
      </c>
      <c r="E45" s="3" t="s">
        <v>9</v>
      </c>
      <c r="F45" s="3">
        <v>78</v>
      </c>
    </row>
    <row r="46" spans="2:6" x14ac:dyDescent="0.3">
      <c r="B46" s="3" t="s">
        <v>10</v>
      </c>
      <c r="C46" s="3" t="e">
        <v>#N/A</v>
      </c>
      <c r="E46" s="3" t="s">
        <v>10</v>
      </c>
      <c r="F46" s="3">
        <v>88</v>
      </c>
    </row>
    <row r="47" spans="2:6" x14ac:dyDescent="0.3">
      <c r="B47" s="3" t="s">
        <v>13</v>
      </c>
      <c r="C47" s="3">
        <v>7.9056941504209481</v>
      </c>
      <c r="E47" s="3" t="s">
        <v>13</v>
      </c>
      <c r="F47" s="3">
        <v>10.401922899156666</v>
      </c>
    </row>
    <row r="48" spans="2:6" x14ac:dyDescent="0.3">
      <c r="B48" s="3" t="s">
        <v>17</v>
      </c>
      <c r="C48" s="3">
        <v>62.5</v>
      </c>
      <c r="E48" s="3" t="s">
        <v>17</v>
      </c>
      <c r="F48" s="3">
        <v>108.19999999999982</v>
      </c>
    </row>
    <row r="49" spans="2:6" x14ac:dyDescent="0.3">
      <c r="B49" s="3" t="s">
        <v>18</v>
      </c>
      <c r="C49" s="3">
        <v>-1.1999999999999984</v>
      </c>
      <c r="E49" s="3" t="s">
        <v>18</v>
      </c>
      <c r="F49" s="3">
        <v>-2.4271988957260655</v>
      </c>
    </row>
    <row r="50" spans="2:6" x14ac:dyDescent="0.3">
      <c r="B50" s="3" t="s">
        <v>19</v>
      </c>
      <c r="C50" s="3">
        <v>0</v>
      </c>
      <c r="E50" s="3" t="s">
        <v>19</v>
      </c>
      <c r="F50" s="3">
        <v>-0.16632784214914137</v>
      </c>
    </row>
    <row r="51" spans="2:6" x14ac:dyDescent="0.3">
      <c r="B51" s="3" t="s">
        <v>11</v>
      </c>
      <c r="C51" s="3">
        <v>20</v>
      </c>
      <c r="E51" s="3" t="s">
        <v>11</v>
      </c>
      <c r="F51" s="3">
        <v>23</v>
      </c>
    </row>
    <row r="52" spans="2:6" x14ac:dyDescent="0.3">
      <c r="B52" s="3" t="s">
        <v>20</v>
      </c>
      <c r="C52" s="3">
        <v>70</v>
      </c>
      <c r="E52" s="3" t="s">
        <v>20</v>
      </c>
      <c r="F52" s="3">
        <v>65</v>
      </c>
    </row>
    <row r="53" spans="2:6" x14ac:dyDescent="0.3">
      <c r="B53" s="3" t="s">
        <v>21</v>
      </c>
      <c r="C53" s="3">
        <v>90</v>
      </c>
      <c r="E53" s="3" t="s">
        <v>21</v>
      </c>
      <c r="F53" s="3">
        <v>88</v>
      </c>
    </row>
    <row r="54" spans="2:6" x14ac:dyDescent="0.3">
      <c r="B54" s="3" t="s">
        <v>22</v>
      </c>
      <c r="C54" s="3">
        <v>400</v>
      </c>
      <c r="E54" s="3" t="s">
        <v>22</v>
      </c>
      <c r="F54" s="3">
        <v>389</v>
      </c>
    </row>
    <row r="55" spans="2:6" ht="15" thickBot="1" x14ac:dyDescent="0.35">
      <c r="B55" s="4" t="s">
        <v>23</v>
      </c>
      <c r="C55" s="4">
        <v>5</v>
      </c>
      <c r="E55" s="4" t="s">
        <v>23</v>
      </c>
      <c r="F55" s="4">
        <v>5</v>
      </c>
    </row>
    <row r="57" spans="2:6" x14ac:dyDescent="0.3">
      <c r="B57" t="s">
        <v>24</v>
      </c>
    </row>
    <row r="58" spans="2:6" ht="15" thickBot="1" x14ac:dyDescent="0.35"/>
    <row r="59" spans="2:6" x14ac:dyDescent="0.3">
      <c r="B59" s="6" t="s">
        <v>25</v>
      </c>
      <c r="C59" s="6"/>
    </row>
    <row r="60" spans="2:6" x14ac:dyDescent="0.3">
      <c r="B60" s="3" t="s">
        <v>26</v>
      </c>
      <c r="C60" s="3">
        <v>0.97282864049677054</v>
      </c>
    </row>
    <row r="61" spans="2:6" x14ac:dyDescent="0.3">
      <c r="B61" s="3" t="s">
        <v>27</v>
      </c>
      <c r="C61" s="3">
        <v>0.94639556377079481</v>
      </c>
    </row>
    <row r="62" spans="2:6" x14ac:dyDescent="0.3">
      <c r="B62" s="3" t="s">
        <v>28</v>
      </c>
      <c r="C62" s="3">
        <v>0.92852741836105979</v>
      </c>
    </row>
    <row r="63" spans="2:6" x14ac:dyDescent="0.3">
      <c r="B63" s="3" t="s">
        <v>16</v>
      </c>
      <c r="C63" s="3">
        <v>2.780887148615228</v>
      </c>
    </row>
    <row r="64" spans="2:6" ht="15" thickBot="1" x14ac:dyDescent="0.35">
      <c r="B64" s="4" t="s">
        <v>29</v>
      </c>
      <c r="C64" s="4">
        <v>5</v>
      </c>
    </row>
    <row r="66" spans="2:10" ht="15" thickBot="1" x14ac:dyDescent="0.35">
      <c r="B66" t="s">
        <v>30</v>
      </c>
    </row>
    <row r="67" spans="2:10" x14ac:dyDescent="0.3">
      <c r="B67" s="5"/>
      <c r="C67" s="5" t="s">
        <v>35</v>
      </c>
      <c r="D67" s="5" t="s">
        <v>36</v>
      </c>
      <c r="E67" s="5" t="s">
        <v>37</v>
      </c>
      <c r="F67" s="5" t="s">
        <v>38</v>
      </c>
      <c r="G67" s="5" t="s">
        <v>39</v>
      </c>
    </row>
    <row r="68" spans="2:10" x14ac:dyDescent="0.3">
      <c r="B68" s="3" t="s">
        <v>31</v>
      </c>
      <c r="C68" s="3">
        <v>1</v>
      </c>
      <c r="D68" s="3">
        <v>409.6</v>
      </c>
      <c r="E68" s="3">
        <v>409.6</v>
      </c>
      <c r="F68" s="3">
        <v>52.96551724137931</v>
      </c>
      <c r="G68" s="3">
        <v>5.3545490713459232E-3</v>
      </c>
    </row>
    <row r="69" spans="2:10" x14ac:dyDescent="0.3">
      <c r="B69" s="3" t="s">
        <v>32</v>
      </c>
      <c r="C69" s="3">
        <v>3</v>
      </c>
      <c r="D69" s="3">
        <v>23.2</v>
      </c>
      <c r="E69" s="3">
        <v>7.7333333333333334</v>
      </c>
      <c r="F69" s="3"/>
      <c r="G69" s="3"/>
    </row>
    <row r="70" spans="2:10" ht="15" thickBot="1" x14ac:dyDescent="0.35">
      <c r="B70" s="4" t="s">
        <v>33</v>
      </c>
      <c r="C70" s="4">
        <v>4</v>
      </c>
      <c r="D70" s="4">
        <v>432.8</v>
      </c>
      <c r="E70" s="4"/>
      <c r="F70" s="4"/>
      <c r="G70" s="4"/>
    </row>
    <row r="71" spans="2:10" ht="15" thickBot="1" x14ac:dyDescent="0.35"/>
    <row r="72" spans="2:10" x14ac:dyDescent="0.3">
      <c r="B72" s="5"/>
      <c r="C72" s="5" t="s">
        <v>40</v>
      </c>
      <c r="D72" s="5" t="s">
        <v>16</v>
      </c>
      <c r="E72" s="5" t="s">
        <v>41</v>
      </c>
      <c r="F72" s="5" t="s">
        <v>42</v>
      </c>
      <c r="G72" s="5" t="s">
        <v>43</v>
      </c>
      <c r="H72" s="5" t="s">
        <v>44</v>
      </c>
      <c r="I72" s="5" t="s">
        <v>45</v>
      </c>
      <c r="J72" s="5" t="s">
        <v>46</v>
      </c>
    </row>
    <row r="73" spans="2:10" x14ac:dyDescent="0.3">
      <c r="B73" s="3" t="s">
        <v>34</v>
      </c>
      <c r="C73" s="3">
        <v>-24.600000000000009</v>
      </c>
      <c r="D73" s="3">
        <v>14.125154866407659</v>
      </c>
      <c r="E73" s="3">
        <v>-1.7415738257499429</v>
      </c>
      <c r="F73" s="3">
        <v>0.1799495958701858</v>
      </c>
      <c r="G73" s="3">
        <v>-69.552546916159258</v>
      </c>
      <c r="H73" s="3">
        <v>20.352546916159248</v>
      </c>
      <c r="I73" s="3">
        <v>-69.552546916159258</v>
      </c>
      <c r="J73" s="3">
        <v>20.352546916159248</v>
      </c>
    </row>
    <row r="74" spans="2:10" ht="15" thickBot="1" x14ac:dyDescent="0.35">
      <c r="B74" s="4" t="s">
        <v>1</v>
      </c>
      <c r="C74" s="4">
        <v>1.28</v>
      </c>
      <c r="D74" s="4">
        <v>0.17587874611030557</v>
      </c>
      <c r="E74" s="4">
        <v>7.2777412183574732</v>
      </c>
      <c r="F74" s="4">
        <v>5.3545490713459189E-3</v>
      </c>
      <c r="G74" s="4">
        <v>0.72027533426332657</v>
      </c>
      <c r="H74" s="4">
        <v>1.8397246657366735</v>
      </c>
      <c r="I74" s="4">
        <v>0.72027533426332657</v>
      </c>
      <c r="J74" s="4">
        <v>1.8397246657366735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amrutha ammu</dc:creator>
  <cp:lastModifiedBy>amrutha ammu</cp:lastModifiedBy>
  <dcterms:created xsi:type="dcterms:W3CDTF">2026-05-26T08:30:29Z</dcterms:created>
  <dcterms:modified xsi:type="dcterms:W3CDTF">2026-05-26T10:31:25Z</dcterms:modified>
</cp:coreProperties>
</file>