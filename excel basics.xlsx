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10bb42e83988ba/Desktop/Data analytics/"/>
    </mc:Choice>
  </mc:AlternateContent>
  <xr:revisionPtr revIDLastSave="484" documentId="8_{847D9C17-CD47-4CCE-B899-5BBBC02ABC3D}" xr6:coauthVersionLast="47" xr6:coauthVersionMax="47" xr10:uidLastSave="{BA622EFF-0E17-4E21-9511-B28F21163AAE}"/>
  <bookViews>
    <workbookView xWindow="-108" yWindow="-108" windowWidth="23256" windowHeight="12456" activeTab="5" xr2:uid="{268FBB28-AD71-438C-8F5C-30AACCB7148A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6" l="1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C8" i="3"/>
  <c r="C8" i="4"/>
  <c r="C14" i="4"/>
  <c r="B14" i="4"/>
  <c r="C13" i="4"/>
  <c r="B13" i="4"/>
  <c r="C12" i="4"/>
  <c r="B12" i="4"/>
  <c r="C11" i="4"/>
  <c r="B11" i="4"/>
  <c r="C10" i="4"/>
  <c r="B10" i="4"/>
  <c r="C9" i="4"/>
  <c r="B9" i="4"/>
  <c r="B8" i="4"/>
  <c r="C14" i="3"/>
  <c r="B14" i="3"/>
  <c r="C13" i="3"/>
  <c r="B13" i="3"/>
  <c r="C12" i="3"/>
  <c r="B12" i="3"/>
  <c r="C11" i="3"/>
  <c r="B11" i="3"/>
  <c r="C10" i="3"/>
  <c r="B10" i="3"/>
  <c r="C9" i="3"/>
  <c r="B9" i="3"/>
  <c r="B8" i="3"/>
  <c r="B8" i="1"/>
  <c r="C8" i="1"/>
  <c r="B8" i="2"/>
  <c r="C8" i="2"/>
  <c r="C14" i="2"/>
  <c r="B14" i="2"/>
  <c r="C13" i="2"/>
  <c r="B13" i="2"/>
  <c r="C12" i="2"/>
  <c r="B12" i="2"/>
  <c r="C11" i="2"/>
  <c r="B11" i="2"/>
  <c r="C10" i="2"/>
  <c r="B10" i="2"/>
  <c r="C9" i="2"/>
  <c r="B9" i="2"/>
  <c r="B14" i="1"/>
  <c r="C14" i="1"/>
  <c r="B13" i="1"/>
  <c r="C13" i="1"/>
  <c r="C12" i="1"/>
  <c r="B12" i="1"/>
  <c r="C11" i="1"/>
  <c r="B11" i="1"/>
  <c r="C10" i="1"/>
  <c r="C9" i="1"/>
  <c r="B10" i="1"/>
  <c r="B9" i="1"/>
</calcChain>
</file>

<file path=xl/sharedStrings.xml><?xml version="1.0" encoding="utf-8"?>
<sst xmlns="http://schemas.openxmlformats.org/spreadsheetml/2006/main" count="356" uniqueCount="77">
  <si>
    <t>Student</t>
  </si>
  <si>
    <t>Math Marks</t>
  </si>
  <si>
    <t>Science Marks</t>
  </si>
  <si>
    <t>A</t>
  </si>
  <si>
    <t>B</t>
  </si>
  <si>
    <t>C</t>
  </si>
  <si>
    <t>D</t>
  </si>
  <si>
    <t>E</t>
  </si>
  <si>
    <t>Mean</t>
  </si>
  <si>
    <t>Median</t>
  </si>
  <si>
    <t>Mode</t>
  </si>
  <si>
    <t>Range</t>
  </si>
  <si>
    <t>Variance</t>
  </si>
  <si>
    <t>Standard Deviation</t>
  </si>
  <si>
    <t>Correlation</t>
  </si>
  <si>
    <t>Column1</t>
  </si>
  <si>
    <t>Standard Error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</si>
  <si>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</si>
  <si>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</si>
  <si>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</si>
  <si>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</si>
  <si>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</si>
  <si>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</si>
  <si>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</si>
  <si>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</si>
  <si>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</si>
  <si>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</si>
  <si>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</si>
  <si>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</si>
  <si>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</si>
  <si>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</si>
  <si>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</si>
  <si>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</si>
  <si>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</si>
  <si>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</si>
  <si>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</si>
  <si>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</si>
  <si>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</si>
  <si>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</si>
  <si>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</si>
  <si>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</si>
  <si>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</si>
  <si>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</si>
  <si>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</si>
  <si>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</si>
  <si>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</si>
  <si>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</si>
  <si>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Month</t>
  </si>
  <si>
    <t>Sales</t>
  </si>
  <si>
    <t>Profit</t>
  </si>
  <si>
    <t>Jan</t>
  </si>
  <si>
    <t>Feb</t>
  </si>
  <si>
    <t>Mar</t>
  </si>
  <si>
    <t>Apr</t>
  </si>
  <si>
    <t>May</t>
  </si>
  <si>
    <t>Advertisement Cost</t>
  </si>
  <si>
    <t>Employee</t>
  </si>
  <si>
    <t>Experience (Years)</t>
  </si>
  <si>
    <t>Salary</t>
  </si>
  <si>
    <t>Emp1</t>
  </si>
  <si>
    <t>Emp2</t>
  </si>
  <si>
    <t>Emp3</t>
  </si>
  <si>
    <t>Emp4</t>
  </si>
  <si>
    <t>Emp5</t>
  </si>
  <si>
    <t>Math</t>
  </si>
  <si>
    <t>Science</t>
  </si>
  <si>
    <t>English</t>
  </si>
  <si>
    <t>P</t>
  </si>
  <si>
    <t>Q</t>
  </si>
  <si>
    <t>R</t>
  </si>
  <si>
    <t>S</t>
  </si>
  <si>
    <t>T</t>
  </si>
  <si>
    <t>SL NO</t>
  </si>
  <si>
    <t xml:space="preserve"> </t>
  </si>
  <si>
    <t>Column2</t>
  </si>
  <si>
    <t>Column3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</si>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</sst>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3-493A-BF36-97F819D6FDD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3-493A-BF36-97F819D6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05696"/>
        <c:axId val="17005216"/>
        <c:axId val="253394640"/>
      </c:bar3DChart>
      <c:catAx>
        <c:axId val="170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216"/>
        <c:crosses val="autoZero"/>
        <c:auto val="1"/>
        <c:lblAlgn val="ctr"/>
        <c:lblOffset val="100"/>
        <c:noMultiLvlLbl val="0"/>
      </c:catAx>
      <c:valAx>
        <c:axId val="1700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696"/>
        <c:crosses val="autoZero"/>
        <c:crossBetween val="between"/>
      </c:valAx>
      <c:serAx>
        <c:axId val="25339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2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6-4B00-8118-E249B645C2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88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6-4B00-8118-E249B645C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9536"/>
        <c:axId val="17010016"/>
      </c:lineChart>
      <c:catAx>
        <c:axId val="170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016"/>
        <c:crosses val="autoZero"/>
        <c:auto val="1"/>
        <c:lblAlgn val="ctr"/>
        <c:lblOffset val="100"/>
        <c:noMultiLvlLbl val="0"/>
      </c:catAx>
      <c:valAx>
        <c:axId val="170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 chart for Math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Math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2C7-4682-BA79-186C083120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2C7-4682-BA79-186C083120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52C7-4682-BA79-186C083120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2C7-4682-BA79-186C083120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52C7-4682-BA79-186C0831200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2C7-4682-BA79-186C0831200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2C7-4682-BA79-186C0831200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2C7-4682-BA79-186C0831200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2C7-4682-BA79-186C0831200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2C7-4682-BA79-186C0831200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682-BA79-186C083120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2C7-4682-BA79-186C083120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52C7-4682-BA79-186C083120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52C7-4682-BA79-186C083120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52C7-4682-BA79-186C083120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52C7-4682-BA79-186C0831200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2C7-4682-BA79-186C0831200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2C7-4682-BA79-186C0831200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2C7-4682-BA79-186C0831200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52C7-4682-BA79-186C0831200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52C7-4682-BA79-186C0831200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7-4682-BA79-186C0831200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 CHart for Science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Science Marks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EFC-475A-A795-0910731FF16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EFC-475A-A795-0910731FF16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EFC-475A-A795-0910731FF16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8EFC-475A-A795-0910731FF168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8EFC-475A-A795-0910731FF168}"/>
              </c:ext>
            </c:extLst>
          </c:dPt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A-4B86-A63E-F1C277A7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5-4565-A75F-FB69F8FB069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400</c:v>
                </c:pt>
                <c:pt idx="1">
                  <c:v>500</c:v>
                </c:pt>
                <c:pt idx="2">
                  <c:v>650</c:v>
                </c:pt>
                <c:pt idx="3">
                  <c:v>700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5-4565-A75F-FB69F8FB0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9634576"/>
        <c:axId val="1599632656"/>
        <c:axId val="1576000384"/>
      </c:bar3DChart>
      <c:catAx>
        <c:axId val="159963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32656"/>
        <c:crosses val="autoZero"/>
        <c:auto val="1"/>
        <c:lblAlgn val="ctr"/>
        <c:lblOffset val="100"/>
        <c:noMultiLvlLbl val="0"/>
      </c:catAx>
      <c:valAx>
        <c:axId val="15996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34576"/>
        <c:crosses val="autoZero"/>
        <c:crossBetween val="between"/>
      </c:valAx>
      <c:serAx>
        <c:axId val="157600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326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6-4FD0-9E0C-8BC92421093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400</c:v>
                </c:pt>
                <c:pt idx="1">
                  <c:v>500</c:v>
                </c:pt>
                <c:pt idx="2">
                  <c:v>650</c:v>
                </c:pt>
                <c:pt idx="3">
                  <c:v>700</c:v>
                </c:pt>
                <c:pt idx="4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6-4FD0-9E0C-8BC92421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900272"/>
        <c:axId val="1584892928"/>
      </c:lineChart>
      <c:catAx>
        <c:axId val="11509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92928"/>
        <c:crosses val="autoZero"/>
        <c:auto val="1"/>
        <c:lblAlgn val="ctr"/>
        <c:lblOffset val="100"/>
        <c:noMultiLvlLbl val="0"/>
      </c:catAx>
      <c:valAx>
        <c:axId val="15848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SL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8-41DE-BD20-90FFD4BE8606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Advertisement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Sheet3!$B$2:$B$6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8-41DE-BD20-90FFD4BE8606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Sheet3!$C$2:$C$6</c:f>
              <c:numCache>
                <c:formatCode>General</c:formatCode>
                <c:ptCount val="5"/>
                <c:pt idx="0">
                  <c:v>15000</c:v>
                </c:pt>
                <c:pt idx="1">
                  <c:v>22000</c:v>
                </c:pt>
                <c:pt idx="2">
                  <c:v>30000</c:v>
                </c:pt>
                <c:pt idx="3">
                  <c:v>38000</c:v>
                </c:pt>
                <c:pt idx="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8-41DE-BD20-90FFD4BE8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893408"/>
        <c:axId val="1584892448"/>
      </c:barChart>
      <c:catAx>
        <c:axId val="15848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92448"/>
        <c:crosses val="autoZero"/>
        <c:auto val="1"/>
        <c:lblAlgn val="ctr"/>
        <c:lblOffset val="100"/>
        <c:noMultiLvlLbl val="0"/>
      </c:catAx>
      <c:valAx>
        <c:axId val="15848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SL 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0-43AB-B28D-41687B87E23F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Advertisement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Sheet3!$B$2:$B$6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0-43AB-B28D-41687B87E23F}"/>
            </c:ext>
          </c:extLst>
        </c:ser>
        <c:ser>
          <c:idx val="2"/>
          <c:order val="2"/>
          <c:tx>
            <c:strRef>
              <c:f>Sheet3!$C$1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Sheet3!$C$2:$C$6</c:f>
              <c:numCache>
                <c:formatCode>General</c:formatCode>
                <c:ptCount val="5"/>
                <c:pt idx="0">
                  <c:v>15000</c:v>
                </c:pt>
                <c:pt idx="1">
                  <c:v>22000</c:v>
                </c:pt>
                <c:pt idx="2">
                  <c:v>30000</c:v>
                </c:pt>
                <c:pt idx="3">
                  <c:v>38000</c:v>
                </c:pt>
                <c:pt idx="4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0-43AB-B28D-41687B87E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900752"/>
        <c:axId val="1253956944"/>
      </c:lineChart>
      <c:catAx>
        <c:axId val="115090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56944"/>
        <c:crosses val="autoZero"/>
        <c:auto val="1"/>
        <c:lblAlgn val="ctr"/>
        <c:lblOffset val="100"/>
        <c:noMultiLvlLbl val="0"/>
      </c:catAx>
      <c:valAx>
        <c:axId val="125395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0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Experience (Years)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Sheet4!$A$2:$A$6</c:f>
              <c:strCache>
                <c:ptCount val="5"/>
                <c:pt idx="0">
                  <c:v>Emp1</c:v>
                </c:pt>
                <c:pt idx="1">
                  <c:v>Emp2</c:v>
                </c:pt>
                <c:pt idx="2">
                  <c:v>Emp3</c:v>
                </c:pt>
                <c:pt idx="3">
                  <c:v>Emp4</c:v>
                </c:pt>
                <c:pt idx="4">
                  <c:v>Emp5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C-49E0-A58B-1F676B7EC66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Sheet4!$A$2:$A$6</c:f>
              <c:strCache>
                <c:ptCount val="5"/>
                <c:pt idx="0">
                  <c:v>Emp1</c:v>
                </c:pt>
                <c:pt idx="1">
                  <c:v>Emp2</c:v>
                </c:pt>
                <c:pt idx="2">
                  <c:v>Emp3</c:v>
                </c:pt>
                <c:pt idx="3">
                  <c:v>Emp4</c:v>
                </c:pt>
                <c:pt idx="4">
                  <c:v>Emp5</c:v>
                </c:pt>
              </c:strCache>
            </c:strRef>
          </c:cat>
          <c:val>
            <c:numRef>
              <c:f>Sheet4!$C$2:$C$6</c:f>
              <c:numCache>
                <c:formatCode>General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35000</c:v>
                </c:pt>
                <c:pt idx="3">
                  <c:v>42000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C-49E0-A58B-1F676B7E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6516576"/>
        <c:axId val="1586517056"/>
        <c:axId val="0"/>
      </c:bar3DChart>
      <c:catAx>
        <c:axId val="158651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17056"/>
        <c:crosses val="autoZero"/>
        <c:auto val="1"/>
        <c:lblAlgn val="ctr"/>
        <c:lblOffset val="100"/>
        <c:noMultiLvlLbl val="0"/>
      </c:catAx>
      <c:valAx>
        <c:axId val="158651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Experience (Years)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Sheet4!$A$2:$A$6</c:f>
              <c:strCache>
                <c:ptCount val="5"/>
                <c:pt idx="0">
                  <c:v>Emp1</c:v>
                </c:pt>
                <c:pt idx="1">
                  <c:v>Emp2</c:v>
                </c:pt>
                <c:pt idx="2">
                  <c:v>Emp3</c:v>
                </c:pt>
                <c:pt idx="3">
                  <c:v>Emp4</c:v>
                </c:pt>
                <c:pt idx="4">
                  <c:v>Emp5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5-4ED1-9A03-2E62B91A074D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Sheet4!$A$2:$A$6</c:f>
              <c:strCache>
                <c:ptCount val="5"/>
                <c:pt idx="0">
                  <c:v>Emp1</c:v>
                </c:pt>
                <c:pt idx="1">
                  <c:v>Emp2</c:v>
                </c:pt>
                <c:pt idx="2">
                  <c:v>Emp3</c:v>
                </c:pt>
                <c:pt idx="3">
                  <c:v>Emp4</c:v>
                </c:pt>
                <c:pt idx="4">
                  <c:v>Emp5</c:v>
                </c:pt>
              </c:strCache>
            </c:strRef>
          </c:cat>
          <c:val>
            <c:numRef>
              <c:f>Sheet4!$C$2:$C$6</c:f>
              <c:numCache>
                <c:formatCode>General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35000</c:v>
                </c:pt>
                <c:pt idx="3">
                  <c:v>42000</c:v>
                </c:pt>
                <c:pt idx="4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5-4ED1-9A03-2E62B91A0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175808"/>
        <c:axId val="1725176288"/>
      </c:lineChart>
      <c:catAx>
        <c:axId val="17251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76288"/>
        <c:crosses val="autoZero"/>
        <c:auto val="1"/>
        <c:lblAlgn val="ctr"/>
        <c:lblOffset val="100"/>
        <c:noMultiLvlLbl val="0"/>
      </c:catAx>
      <c:valAx>
        <c:axId val="17251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PI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Math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31C-A2E2-50A5F3349437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Science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82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31C-A2E2-50A5F3349437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English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Sheet6!$D$2:$D$6</c:f>
              <c:numCache>
                <c:formatCode>General</c:formatCode>
                <c:ptCount val="5"/>
                <c:pt idx="0">
                  <c:v>72</c:v>
                </c:pt>
                <c:pt idx="1">
                  <c:v>74</c:v>
                </c:pt>
                <c:pt idx="2">
                  <c:v>79</c:v>
                </c:pt>
                <c:pt idx="3">
                  <c:v>84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31C-A2E2-50A5F3349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6722960"/>
        <c:axId val="1586716240"/>
        <c:axId val="1141020176"/>
      </c:bar3DChart>
      <c:catAx>
        <c:axId val="158672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16240"/>
        <c:crosses val="autoZero"/>
        <c:auto val="1"/>
        <c:lblAlgn val="ctr"/>
        <c:lblOffset val="100"/>
        <c:noMultiLvlLbl val="0"/>
      </c:catAx>
      <c:valAx>
        <c:axId val="15867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22960"/>
        <c:crosses val="autoZero"/>
        <c:crossBetween val="between"/>
      </c:valAx>
      <c:serAx>
        <c:axId val="114102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162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Math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E67-8ACE-F65BF4B93EE8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Science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Sheet6!$C$2:$C$6</c:f>
              <c:numCache>
                <c:formatCode>General</c:formatCode>
                <c:ptCount val="5"/>
                <c:pt idx="0">
                  <c:v>65</c:v>
                </c:pt>
                <c:pt idx="1">
                  <c:v>70</c:v>
                </c:pt>
                <c:pt idx="2">
                  <c:v>78</c:v>
                </c:pt>
                <c:pt idx="3">
                  <c:v>82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1-4E67-8ACE-F65BF4B93EE8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English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Sheet6!$A$2:$A$6</c:f>
              <c:strCache>
                <c:ptCount val="5"/>
                <c:pt idx="0">
                  <c:v>P</c:v>
                </c:pt>
                <c:pt idx="1">
                  <c:v>Q</c:v>
                </c:pt>
                <c:pt idx="2">
                  <c:v>R</c:v>
                </c:pt>
                <c:pt idx="3">
                  <c:v>S</c:v>
                </c:pt>
                <c:pt idx="4">
                  <c:v>T</c:v>
                </c:pt>
              </c:strCache>
            </c:strRef>
          </c:cat>
          <c:val>
            <c:numRef>
              <c:f>Sheet6!$D$2:$D$6</c:f>
              <c:numCache>
                <c:formatCode>General</c:formatCode>
                <c:ptCount val="5"/>
                <c:pt idx="0">
                  <c:v>72</c:v>
                </c:pt>
                <c:pt idx="1">
                  <c:v>74</c:v>
                </c:pt>
                <c:pt idx="2">
                  <c:v>79</c:v>
                </c:pt>
                <c:pt idx="3">
                  <c:v>84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1-4E67-8ACE-F65BF4B93E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1315024"/>
        <c:axId val="751315504"/>
      </c:lineChart>
      <c:catAx>
        <c:axId val="751315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15504"/>
        <c:crosses val="autoZero"/>
        <c:auto val="1"/>
        <c:lblAlgn val="ctr"/>
        <c:lblOffset val="100"/>
        <c:noMultiLvlLbl val="0"/>
      </c:catAx>
      <c:valAx>
        <c:axId val="751315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534</xdr:rowOff>
    </xdr:from>
    <xdr:to>
      <xdr:col>3</xdr:col>
      <xdr:colOff>5328</xdr:colOff>
      <xdr:row>26</xdr:row>
      <xdr:rowOff>10657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E831E7-E519-C7CB-9723-9E96CF0B9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651281</xdr:colOff>
      <xdr:row>14</xdr:row>
      <xdr:rowOff>176379</xdr:rowOff>
    </xdr:from>
    <xdr:to>
      <xdr:col>7</xdr:col>
      <xdr:colOff>605692</xdr:colOff>
      <xdr:row>25</xdr:row>
      <xdr:rowOff>175846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AE8AE3-9BA1-CD22-7C9C-D817198CC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27</xdr:row>
      <xdr:rowOff>176381</xdr:rowOff>
    </xdr:from>
    <xdr:to>
      <xdr:col>3</xdr:col>
      <xdr:colOff>0</xdr:colOff>
      <xdr:row>39</xdr:row>
      <xdr:rowOff>10657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9D687E-3F7F-A68F-DEDF-BD9E99AB7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15983</xdr:colOff>
      <xdr:row>28</xdr:row>
      <xdr:rowOff>6512</xdr:rowOff>
    </xdr:from>
    <xdr:to>
      <xdr:col>8</xdr:col>
      <xdr:colOff>6512</xdr:colOff>
      <xdr:row>38</xdr:row>
      <xdr:rowOff>182358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72F229-C7E2-F905-E2C1-28F803968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179070</xdr:rowOff>
    </xdr:from>
    <xdr:to>
      <xdr:col>6</xdr:col>
      <xdr:colOff>243840</xdr:colOff>
      <xdr:row>29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EAE9E-29FF-F5A3-E872-26E75E880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3810</xdr:rowOff>
    </xdr:from>
    <xdr:to>
      <xdr:col>6</xdr:col>
      <xdr:colOff>243840</xdr:colOff>
      <xdr:row>46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3892ED-C67B-24EF-B314-E425A14F0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19050</xdr:rowOff>
    </xdr:from>
    <xdr:to>
      <xdr:col>5</xdr:col>
      <xdr:colOff>312420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96CD1-9676-A2FF-9D2C-BA271C2A6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179070</xdr:rowOff>
    </xdr:from>
    <xdr:to>
      <xdr:col>5</xdr:col>
      <xdr:colOff>312420</xdr:colOff>
      <xdr:row>46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CB559-2348-F438-19EE-2A49D8E66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179070</xdr:rowOff>
    </xdr:from>
    <xdr:to>
      <xdr:col>5</xdr:col>
      <xdr:colOff>304800</xdr:colOff>
      <xdr:row>29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D9B90-E47D-3B98-2BB9-1CFFBA54E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171450</xdr:rowOff>
    </xdr:from>
    <xdr:to>
      <xdr:col>5</xdr:col>
      <xdr:colOff>304800</xdr:colOff>
      <xdr:row>45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1133D-70B3-E1D3-34C9-C15CA2132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3810</xdr:rowOff>
    </xdr:from>
    <xdr:to>
      <xdr:col>6</xdr:col>
      <xdr:colOff>350520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F19E1-0B53-C86B-DFDB-1ABA2A2CC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171450</xdr:rowOff>
    </xdr:from>
    <xdr:to>
      <xdr:col>6</xdr:col>
      <xdr:colOff>350520</xdr:colOff>
      <xdr:row>45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36F02D-8C28-412A-0E37-002B29EF0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8F5AB-BDA3-4F70-A0E2-988A489FAFCD}" name="Table1" displayName="Table1" ref="A1:C7" totalsRowCount="1" headerRowDxfId="22" dataDxfId="21">
  <autoFilter ref="A1:C6" xr:uid="{D2F8F5AB-BDA3-4F70-A0E2-988A489FAFCD}"/>
  <tableColumns count="3">
    <tableColumn id="1" xr3:uid="{B2C246A2-DB99-4095-9B9E-CA95CF8DC13A}" name="Student" dataDxfId="20"/>
    <tableColumn id="2" xr3:uid="{8F043AE1-1A0C-42D5-958F-8BFD2262B79D}" name="Math Marks" dataDxfId="19"/>
    <tableColumn id="3" xr3:uid="{CF0760DB-71D9-4E92-BF6C-134412A5F9E0}" name="Science Marks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ACC3DE-8D18-479A-80B8-1CADD47E284E}" name="Table2" displayName="Table2" ref="A1:C6" totalsRowShown="0" headerRowDxfId="17" dataDxfId="16">
  <autoFilter ref="A1:C6" xr:uid="{83ACC3DE-8D18-479A-80B8-1CADD47E284E}"/>
  <tableColumns count="3">
    <tableColumn id="1" xr3:uid="{E48E24F6-0C36-4F55-92F8-ADDDDDC8EC04}" name="Month" dataDxfId="15"/>
    <tableColumn id="2" xr3:uid="{2BCCFC25-EC27-4C00-B3B3-AC95907CA26D}" name="Sales" dataDxfId="14"/>
    <tableColumn id="3" xr3:uid="{037084A4-60EF-4906-BE23-2D26D0257C56}" name="Profit" dataDxfId="1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9EA7C1-0A5E-491F-A633-03770F7B28DA}" name="Table3" displayName="Table3" ref="A1:C6" totalsRowShown="0">
  <autoFilter ref="A1:C6" xr:uid="{6A9EA7C1-0A5E-491F-A633-03770F7B28DA}"/>
  <tableColumns count="3">
    <tableColumn id="1" xr3:uid="{1648DC3E-7C8D-4761-A19A-FD4646381F16}" name="SL NO"/>
    <tableColumn id="2" xr3:uid="{53AEFEC3-99A7-41B6-9C92-3DA38CF05D02}" name="Advertisement Cost" dataDxfId="12"/>
    <tableColumn id="3" xr3:uid="{CE14948D-C4D8-470E-8AB5-555F451F5D1A}" name="Sales" dataDxfId="11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3C70C0-E5EF-4E95-A4DA-1F06D5D8564F}" name="Table4" displayName="Table4" ref="A1:C6" totalsRowShown="0" headerRowDxfId="6" dataDxfId="7">
  <autoFilter ref="A1:C6" xr:uid="{983C70C0-E5EF-4E95-A4DA-1F06D5D8564F}"/>
  <tableColumns count="3">
    <tableColumn id="1" xr3:uid="{3D0AF2EE-79A7-4267-B950-927689631D96}" name="Employee" dataDxfId="10"/>
    <tableColumn id="2" xr3:uid="{030D5592-749C-4E3F-A340-EB5AC0DB772D}" name="Experience (Years)" dataDxfId="9"/>
    <tableColumn id="3" xr3:uid="{5CB286EE-C306-45A5-8E4E-A2077B809638}" name="Salary" dataDxfId="8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92FB7-CB54-4493-8624-AFE6DE5ADC5C}" name="Table5" displayName="Table5" ref="A1:D6" totalsRowShown="0" headerRowDxfId="0" dataDxfId="1">
  <autoFilter ref="A1:D6" xr:uid="{77692FB7-CB54-4493-8624-AFE6DE5ADC5C}"/>
  <tableColumns count="4">
    <tableColumn id="1" xr3:uid="{8B3AA342-03E8-4212-8873-A25C0C2C78F4}" name="Student" dataDxfId="5"/>
    <tableColumn id="2" xr3:uid="{F0906E39-3B1E-450A-B9BA-D419D640F7DA}" name="Math" dataDxfId="4"/>
    <tableColumn id="3" xr3:uid="{6886C42D-EE23-4FC5-AEBA-5E08EBB60ED1}" name="Science" dataDxfId="3"/>
    <tableColumn id="4" xr3:uid="{57A07DAD-6997-4ADE-A17B-4FB073D6DCF0}" name="English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23B9-076E-4D5E-8C77-4F2C1973FDD7}">
  <dimension ref="A1:J74"/>
  <sheetViews>
    <sheetView topLeftCell="A62" zoomScale="117" workbookViewId="0">
      <selection activeCell="C80" sqref="C80"/>
    </sheetView>
  </sheetViews>
  <sheetFormatPr defaultRowHeight="14.4" x14ac:dyDescent="0.3"/>
  <cols>
    <col min="1" max="1" width="16.77734375" customWidth="1"/>
    <col min="2" max="2" width="12.21875" customWidth="1"/>
    <col min="3" max="3" width="13.88671875" customWidth="1"/>
    <col min="4" max="4" width="9.6640625" customWidth="1"/>
    <col min="5" max="5" width="12.109375" customWidth="1"/>
    <col min="6" max="6" width="12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70</v>
      </c>
      <c r="C2" s="2">
        <v>65</v>
      </c>
    </row>
    <row r="3" spans="1:3" x14ac:dyDescent="0.3">
      <c r="A3" s="2" t="s">
        <v>4</v>
      </c>
      <c r="B3" s="2">
        <v>75</v>
      </c>
      <c r="C3" s="2">
        <v>70</v>
      </c>
    </row>
    <row r="4" spans="1:3" x14ac:dyDescent="0.3">
      <c r="A4" s="2" t="s">
        <v>5</v>
      </c>
      <c r="B4" s="2">
        <v>80</v>
      </c>
      <c r="C4" s="2">
        <v>78</v>
      </c>
    </row>
    <row r="5" spans="1:3" x14ac:dyDescent="0.3">
      <c r="A5" s="2" t="s">
        <v>6</v>
      </c>
      <c r="B5" s="2">
        <v>85</v>
      </c>
      <c r="C5" s="2">
        <v>88</v>
      </c>
    </row>
    <row r="6" spans="1:3" x14ac:dyDescent="0.3">
      <c r="A6" s="2" t="s">
        <v>7</v>
      </c>
      <c r="B6" s="2">
        <v>90</v>
      </c>
      <c r="C6" s="2">
        <v>88</v>
      </c>
    </row>
    <row r="8" spans="1:3" x14ac:dyDescent="0.3">
      <c r="A8" s="2" t="s">
        <v>8</v>
      </c>
      <c r="B8" s="2">
        <f>AVERAGE(B2:B6)</f>
        <v>80</v>
      </c>
      <c r="C8" s="2">
        <f>AVERAGE(B2:B6)</f>
        <v>80</v>
      </c>
    </row>
    <row r="9" spans="1:3" x14ac:dyDescent="0.3">
      <c r="A9" t="s">
        <v>9</v>
      </c>
      <c r="B9">
        <f>MEDIAN(B2:B6)</f>
        <v>80</v>
      </c>
      <c r="C9">
        <f>MEDIAN(C2:C6)</f>
        <v>78</v>
      </c>
    </row>
    <row r="10" spans="1:3" x14ac:dyDescent="0.3">
      <c r="A10" t="s">
        <v>10</v>
      </c>
      <c r="B10" t="e">
        <f>_xlfn.MODE.SNGL(B2:B6)</f>
        <v>#N/A</v>
      </c>
      <c r="C10">
        <f>_xlfn.MODE.SNGL(C2:C6)</f>
        <v>88</v>
      </c>
    </row>
    <row r="11" spans="1:3" x14ac:dyDescent="0.3">
      <c r="A11" t="s">
        <v>11</v>
      </c>
      <c r="B11">
        <f>MAX(B2:B6)-MIN(B2:B6)</f>
        <v>20</v>
      </c>
      <c r="C11">
        <f>MAX(C2:C6)-MIN(C2:C6)</f>
        <v>23</v>
      </c>
    </row>
    <row r="12" spans="1:3" x14ac:dyDescent="0.3">
      <c r="A12" t="s">
        <v>12</v>
      </c>
      <c r="B12">
        <f>_xlfn.VAR.S(B2:B6)</f>
        <v>62.5</v>
      </c>
      <c r="C12">
        <f>_xlfn.VAR.S(C2:C6)</f>
        <v>108.19999999999982</v>
      </c>
    </row>
    <row r="13" spans="1:3" x14ac:dyDescent="0.3">
      <c r="A13" t="s">
        <v>13</v>
      </c>
      <c r="B13">
        <f>_xlfn.STDEV.S(B2:B6)</f>
        <v>7.9056941504209481</v>
      </c>
      <c r="C13">
        <f>_xlfn.STDEV.S(C2:C6)</f>
        <v>10.401922899156666</v>
      </c>
    </row>
    <row r="14" spans="1:3" x14ac:dyDescent="0.3">
      <c r="A14" t="s">
        <v>14</v>
      </c>
      <c r="B14">
        <f>CORREL(B2:B6,C2:C6)</f>
        <v>0.97282864049677042</v>
      </c>
      <c r="C14">
        <f>CORREL(B2:B6,C2:C6)</f>
        <v>0.97282864049677042</v>
      </c>
    </row>
    <row r="40" spans="2:6" ht="15" thickBot="1" x14ac:dyDescent="0.35"/>
    <row r="41" spans="2:6" x14ac:dyDescent="0.3">
      <c r="B41" s="5" t="s">
        <v>15</v>
      </c>
      <c r="C41" s="5"/>
      <c r="E41" s="5" t="s">
        <v>15</v>
      </c>
      <c r="F41" s="5"/>
    </row>
    <row r="43" spans="2:6" x14ac:dyDescent="0.3">
      <c r="B43" t="s">
        <v>8</v>
      </c>
      <c r="C43">
        <v>80</v>
      </c>
      <c r="E43" t="s">
        <v>8</v>
      </c>
      <c r="F43">
        <v>77.8</v>
      </c>
    </row>
    <row r="44" spans="2:6" x14ac:dyDescent="0.3">
      <c r="B44" t="s">
        <v>16</v>
      </c>
      <c r="C44">
        <v>3.5355339059327373</v>
      </c>
      <c r="E44" t="s">
        <v>16</v>
      </c>
      <c r="F44">
        <v>4.6518813398451986</v>
      </c>
    </row>
    <row r="45" spans="2:6" x14ac:dyDescent="0.3">
      <c r="B45" t="s">
        <v>9</v>
      </c>
      <c r="C45">
        <v>80</v>
      </c>
      <c r="E45" t="s">
        <v>9</v>
      </c>
      <c r="F45">
        <v>78</v>
      </c>
    </row>
    <row r="46" spans="2:6" x14ac:dyDescent="0.3">
      <c r="B46" t="s">
        <v>10</v>
      </c>
      <c r="C46" t="e">
        <v>#N/A</v>
      </c>
      <c r="E46" t="s">
        <v>10</v>
      </c>
      <c r="F46">
        <v>88</v>
      </c>
    </row>
    <row r="47" spans="2:6" x14ac:dyDescent="0.3">
      <c r="B47" t="s">
        <v>13</v>
      </c>
      <c r="C47">
        <v>7.9056941504209481</v>
      </c>
      <c r="E47" t="s">
        <v>13</v>
      </c>
      <c r="F47">
        <v>10.401922899156666</v>
      </c>
    </row>
    <row r="48" spans="2:6" x14ac:dyDescent="0.3">
      <c r="B48" t="s">
        <v>17</v>
      </c>
      <c r="C48">
        <v>62.5</v>
      </c>
      <c r="E48" t="s">
        <v>17</v>
      </c>
      <c r="F48">
        <v>108.19999999999982</v>
      </c>
    </row>
    <row r="49" spans="2:6" x14ac:dyDescent="0.3">
      <c r="B49" t="s">
        <v>18</v>
      </c>
      <c r="C49">
        <v>-1.1999999999999984</v>
      </c>
      <c r="E49" t="s">
        <v>18</v>
      </c>
      <c r="F49">
        <v>-2.4271988957260655</v>
      </c>
    </row>
    <row r="50" spans="2:6" x14ac:dyDescent="0.3">
      <c r="B50" t="s">
        <v>19</v>
      </c>
      <c r="C50">
        <v>0</v>
      </c>
      <c r="E50" t="s">
        <v>19</v>
      </c>
      <c r="F50">
        <v>-0.16632784214914137</v>
      </c>
    </row>
    <row r="51" spans="2:6" x14ac:dyDescent="0.3">
      <c r="B51" t="s">
        <v>11</v>
      </c>
      <c r="C51">
        <v>20</v>
      </c>
      <c r="E51" t="s">
        <v>11</v>
      </c>
      <c r="F51">
        <v>23</v>
      </c>
    </row>
    <row r="52" spans="2:6" x14ac:dyDescent="0.3">
      <c r="B52" t="s">
        <v>20</v>
      </c>
      <c r="C52">
        <v>70</v>
      </c>
      <c r="E52" t="s">
        <v>20</v>
      </c>
      <c r="F52">
        <v>65</v>
      </c>
    </row>
    <row r="53" spans="2:6" x14ac:dyDescent="0.3">
      <c r="B53" t="s">
        <v>21</v>
      </c>
      <c r="C53">
        <v>90</v>
      </c>
      <c r="E53" t="s">
        <v>21</v>
      </c>
      <c r="F53">
        <v>88</v>
      </c>
    </row>
    <row r="54" spans="2:6" x14ac:dyDescent="0.3">
      <c r="B54" t="s">
        <v>22</v>
      </c>
      <c r="C54">
        <v>400</v>
      </c>
      <c r="E54" t="s">
        <v>22</v>
      </c>
      <c r="F54">
        <v>389</v>
      </c>
    </row>
    <row r="55" spans="2:6" ht="15" thickBot="1" x14ac:dyDescent="0.35">
      <c r="B55" s="3" t="s">
        <v>23</v>
      </c>
      <c r="C55" s="3">
        <v>5</v>
      </c>
      <c r="E55" s="3" t="s">
        <v>23</v>
      </c>
      <c r="F55" s="3">
        <v>5</v>
      </c>
    </row>
    <row r="57" spans="2:6" x14ac:dyDescent="0.3">
      <c r="B57" t="s">
        <v>24</v>
      </c>
    </row>
    <row r="58" spans="2:6" ht="15" thickBot="1" x14ac:dyDescent="0.35"/>
    <row r="59" spans="2:6" x14ac:dyDescent="0.3">
      <c r="B59" s="5" t="s">
        <v>25</v>
      </c>
      <c r="C59" s="5"/>
    </row>
    <row r="60" spans="2:6" x14ac:dyDescent="0.3">
      <c r="B60" t="s">
        <v>26</v>
      </c>
      <c r="C60">
        <v>0.97282864049677054</v>
      </c>
    </row>
    <row r="61" spans="2:6" x14ac:dyDescent="0.3">
      <c r="B61" t="s">
        <v>27</v>
      </c>
      <c r="C61">
        <v>0.94639556377079481</v>
      </c>
    </row>
    <row r="62" spans="2:6" x14ac:dyDescent="0.3">
      <c r="B62" t="s">
        <v>28</v>
      </c>
      <c r="C62">
        <v>0.92852741836105979</v>
      </c>
    </row>
    <row r="63" spans="2:6" x14ac:dyDescent="0.3">
      <c r="B63" t="s">
        <v>16</v>
      </c>
      <c r="C63">
        <v>2.780887148615228</v>
      </c>
    </row>
    <row r="64" spans="2:6" ht="15" thickBot="1" x14ac:dyDescent="0.35">
      <c r="B64" s="3" t="s">
        <v>29</v>
      </c>
      <c r="C64" s="3">
        <v>5</v>
      </c>
    </row>
    <row r="66" spans="2:10" ht="15" thickBot="1" x14ac:dyDescent="0.35">
      <c r="B66" t="s">
        <v>30</v>
      </c>
    </row>
    <row r="67" spans="2:10" x14ac:dyDescent="0.3">
      <c r="B67" s="4"/>
      <c r="C67" s="4" t="s">
        <v>35</v>
      </c>
      <c r="D67" s="4" t="s">
        <v>36</v>
      </c>
      <c r="E67" s="4" t="s">
        <v>37</v>
      </c>
      <c r="F67" s="4" t="s">
        <v>38</v>
      </c>
      <c r="G67" s="4" t="s">
        <v>39</v>
      </c>
    </row>
    <row r="68" spans="2:10" x14ac:dyDescent="0.3">
      <c r="B68" t="s">
        <v>31</v>
      </c>
      <c r="C68">
        <v>1</v>
      </c>
      <c r="D68">
        <v>409.6</v>
      </c>
      <c r="E68">
        <v>409.6</v>
      </c>
      <c r="F68">
        <v>52.96551724137931</v>
      </c>
      <c r="G68">
        <v>5.3545490713459232E-3</v>
      </c>
    </row>
    <row r="69" spans="2:10" x14ac:dyDescent="0.3">
      <c r="B69" t="s">
        <v>32</v>
      </c>
      <c r="C69">
        <v>3</v>
      </c>
      <c r="D69">
        <v>23.2</v>
      </c>
      <c r="E69">
        <v>7.7333333333333334</v>
      </c>
    </row>
    <row r="70" spans="2:10" ht="15" thickBot="1" x14ac:dyDescent="0.35">
      <c r="B70" s="3" t="s">
        <v>33</v>
      </c>
      <c r="C70" s="3">
        <v>4</v>
      </c>
      <c r="D70" s="3">
        <v>432.8</v>
      </c>
      <c r="E70" s="3"/>
      <c r="F70" s="3"/>
      <c r="G70" s="3"/>
    </row>
    <row r="71" spans="2:10" ht="15" thickBot="1" x14ac:dyDescent="0.35"/>
    <row r="72" spans="2:10" x14ac:dyDescent="0.3">
      <c r="B72" s="4"/>
      <c r="C72" s="4" t="s">
        <v>40</v>
      </c>
      <c r="D72" s="4" t="s">
        <v>16</v>
      </c>
      <c r="E72" s="4" t="s">
        <v>41</v>
      </c>
      <c r="F72" s="4" t="s">
        <v>42</v>
      </c>
      <c r="G72" s="4" t="s">
        <v>43</v>
      </c>
      <c r="H72" s="4" t="s">
        <v>44</v>
      </c>
      <c r="I72" s="4" t="s">
        <v>45</v>
      </c>
      <c r="J72" s="4" t="s">
        <v>46</v>
      </c>
    </row>
    <row r="73" spans="2:10" x14ac:dyDescent="0.3">
      <c r="B73" t="s">
        <v>34</v>
      </c>
      <c r="C73">
        <v>-24.600000000000009</v>
      </c>
      <c r="D73">
        <v>14.125154866407659</v>
      </c>
      <c r="E73">
        <v>-1.7415738257499429</v>
      </c>
      <c r="F73">
        <v>0.1799495958701858</v>
      </c>
      <c r="G73">
        <v>-69.552546916159258</v>
      </c>
      <c r="H73">
        <v>20.352546916159248</v>
      </c>
      <c r="I73">
        <v>-69.552546916159258</v>
      </c>
      <c r="J73">
        <v>20.352546916159248</v>
      </c>
    </row>
    <row r="74" spans="2:10" ht="15" thickBot="1" x14ac:dyDescent="0.35">
      <c r="B74" s="3" t="s">
        <v>1</v>
      </c>
      <c r="C74" s="3">
        <v>1.28</v>
      </c>
      <c r="D74" s="3">
        <v>0.17587874611030557</v>
      </c>
      <c r="E74" s="3">
        <v>7.2777412183574732</v>
      </c>
      <c r="F74" s="3">
        <v>5.3545490713459189E-3</v>
      </c>
      <c r="G74" s="3">
        <v>0.72027533426332657</v>
      </c>
      <c r="H74" s="3">
        <v>1.8397246657366735</v>
      </c>
      <c r="I74" s="3">
        <v>0.72027533426332657</v>
      </c>
      <c r="J74" s="3">
        <v>1.8397246657366735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9D01-6BC6-4902-99D8-932F7FF95F73}">
  <dimension ref="A1:J82"/>
  <sheetViews>
    <sheetView topLeftCell="A60" workbookViewId="0">
      <selection activeCell="H71" sqref="H71"/>
    </sheetView>
  </sheetViews>
  <sheetFormatPr defaultRowHeight="14.4" x14ac:dyDescent="0.3"/>
  <cols>
    <col min="1" max="1" width="12.44140625" customWidth="1"/>
    <col min="2" max="2" width="12.33203125" customWidth="1"/>
    <col min="3" max="3" width="11.6640625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x14ac:dyDescent="0.3">
      <c r="A2" s="2" t="s">
        <v>50</v>
      </c>
      <c r="B2" s="2">
        <v>2000</v>
      </c>
      <c r="C2" s="2">
        <v>400</v>
      </c>
    </row>
    <row r="3" spans="1:3" x14ac:dyDescent="0.3">
      <c r="A3" s="2" t="s">
        <v>51</v>
      </c>
      <c r="B3" s="2">
        <v>2500</v>
      </c>
      <c r="C3" s="2">
        <v>500</v>
      </c>
    </row>
    <row r="4" spans="1:3" x14ac:dyDescent="0.3">
      <c r="A4" s="2" t="s">
        <v>52</v>
      </c>
      <c r="B4" s="2">
        <v>3000</v>
      </c>
      <c r="C4" s="2">
        <v>650</v>
      </c>
    </row>
    <row r="5" spans="1:3" x14ac:dyDescent="0.3">
      <c r="A5" s="2" t="s">
        <v>53</v>
      </c>
      <c r="B5" s="2">
        <v>3500</v>
      </c>
      <c r="C5" s="2">
        <v>700</v>
      </c>
    </row>
    <row r="6" spans="1:3" x14ac:dyDescent="0.3">
      <c r="A6" s="2" t="s">
        <v>54</v>
      </c>
      <c r="B6" s="2">
        <v>4000</v>
      </c>
      <c r="C6" s="2">
        <v>850</v>
      </c>
    </row>
    <row r="8" spans="1:3" x14ac:dyDescent="0.3">
      <c r="A8" s="2" t="s">
        <v>8</v>
      </c>
      <c r="B8" s="2">
        <f>AVERAGE(B2:B6)</f>
        <v>3000</v>
      </c>
      <c r="C8" s="2">
        <f>AVERAGE(C2:C6)</f>
        <v>620</v>
      </c>
    </row>
    <row r="9" spans="1:3" x14ac:dyDescent="0.3">
      <c r="A9" t="s">
        <v>9</v>
      </c>
      <c r="B9">
        <f>MEDIAN(B2:B6)</f>
        <v>3000</v>
      </c>
      <c r="C9">
        <f>MEDIAN(C2:C6)</f>
        <v>650</v>
      </c>
    </row>
    <row r="10" spans="1:3" x14ac:dyDescent="0.3">
      <c r="A10" t="s">
        <v>10</v>
      </c>
      <c r="B10" t="e">
        <f>_xlfn.MODE.SNGL(B2:B6)</f>
        <v>#N/A</v>
      </c>
      <c r="C10" t="e">
        <f>_xlfn.MODE.SNGL(C2:C6)</f>
        <v>#N/A</v>
      </c>
    </row>
    <row r="11" spans="1:3" x14ac:dyDescent="0.3">
      <c r="A11" t="s">
        <v>11</v>
      </c>
      <c r="B11">
        <f>MAX(B2:B6)-MIN(B2:B6)</f>
        <v>2000</v>
      </c>
      <c r="C11">
        <f>MAX(C2:C6)-MIN(C2:C6)</f>
        <v>450</v>
      </c>
    </row>
    <row r="12" spans="1:3" x14ac:dyDescent="0.3">
      <c r="A12" t="s">
        <v>12</v>
      </c>
      <c r="B12">
        <f>_xlfn.VAR.S(B2:B6)</f>
        <v>625000</v>
      </c>
      <c r="C12">
        <f>_xlfn.VAR.S(C2:C6)</f>
        <v>30750</v>
      </c>
    </row>
    <row r="13" spans="1:3" x14ac:dyDescent="0.3">
      <c r="A13" t="s">
        <v>13</v>
      </c>
      <c r="B13">
        <f>_xlfn.STDEV.S(B2:B6)</f>
        <v>790.56941504209487</v>
      </c>
      <c r="C13">
        <f>_xlfn.STDEV.S(C2:C6)</f>
        <v>175.35677916750183</v>
      </c>
    </row>
    <row r="14" spans="1:3" x14ac:dyDescent="0.3">
      <c r="A14" t="s">
        <v>14</v>
      </c>
      <c r="B14">
        <f>CORREL(B2:B6,C2:C6)</f>
        <v>0.99183659813417557</v>
      </c>
      <c r="C14">
        <f>CORREL(B2:B6,C2:C6)</f>
        <v>0.99183659813417557</v>
      </c>
    </row>
    <row r="48" ht="15" thickBot="1" x14ac:dyDescent="0.35"/>
    <row r="49" spans="2:5" x14ac:dyDescent="0.3">
      <c r="B49" s="8" t="s">
        <v>15</v>
      </c>
      <c r="C49" s="8"/>
      <c r="D49" s="8" t="s">
        <v>74</v>
      </c>
      <c r="E49" s="8"/>
    </row>
    <row r="50" spans="2:5" x14ac:dyDescent="0.3">
      <c r="B50" s="6"/>
      <c r="C50" s="6"/>
      <c r="D50" s="6"/>
      <c r="E50" s="6"/>
    </row>
    <row r="51" spans="2:5" x14ac:dyDescent="0.3">
      <c r="B51" s="6" t="s">
        <v>8</v>
      </c>
      <c r="C51" s="6">
        <v>3000</v>
      </c>
      <c r="D51" s="6" t="s">
        <v>8</v>
      </c>
      <c r="E51" s="6">
        <v>620</v>
      </c>
    </row>
    <row r="52" spans="2:5" x14ac:dyDescent="0.3">
      <c r="B52" s="6" t="s">
        <v>16</v>
      </c>
      <c r="C52" s="6">
        <v>353.55339059327378</v>
      </c>
      <c r="D52" s="6" t="s">
        <v>16</v>
      </c>
      <c r="E52" s="6">
        <v>78.421935706790606</v>
      </c>
    </row>
    <row r="53" spans="2:5" x14ac:dyDescent="0.3">
      <c r="B53" s="6" t="s">
        <v>9</v>
      </c>
      <c r="C53" s="6">
        <v>3000</v>
      </c>
      <c r="D53" s="6" t="s">
        <v>9</v>
      </c>
      <c r="E53" s="6">
        <v>650</v>
      </c>
    </row>
    <row r="54" spans="2:5" x14ac:dyDescent="0.3">
      <c r="B54" s="6" t="s">
        <v>10</v>
      </c>
      <c r="C54" s="6" t="e">
        <v>#N/A</v>
      </c>
      <c r="D54" s="6" t="s">
        <v>10</v>
      </c>
      <c r="E54" s="6" t="e">
        <v>#N/A</v>
      </c>
    </row>
    <row r="55" spans="2:5" x14ac:dyDescent="0.3">
      <c r="B55" s="6" t="s">
        <v>13</v>
      </c>
      <c r="C55" s="6">
        <v>790.56941504209487</v>
      </c>
      <c r="D55" s="6" t="s">
        <v>13</v>
      </c>
      <c r="E55" s="6">
        <v>175.35677916750183</v>
      </c>
    </row>
    <row r="56" spans="2:5" x14ac:dyDescent="0.3">
      <c r="B56" s="6" t="s">
        <v>17</v>
      </c>
      <c r="C56" s="6">
        <v>625000</v>
      </c>
      <c r="D56" s="6" t="s">
        <v>17</v>
      </c>
      <c r="E56" s="6">
        <v>30750</v>
      </c>
    </row>
    <row r="57" spans="2:5" x14ac:dyDescent="0.3">
      <c r="B57" s="6" t="s">
        <v>18</v>
      </c>
      <c r="C57" s="6">
        <v>-1.1999999999999984</v>
      </c>
      <c r="D57" s="6" t="s">
        <v>18</v>
      </c>
      <c r="E57" s="6">
        <v>-0.87447947650208402</v>
      </c>
    </row>
    <row r="58" spans="2:5" x14ac:dyDescent="0.3">
      <c r="B58" s="6" t="s">
        <v>19</v>
      </c>
      <c r="C58" s="6">
        <v>0</v>
      </c>
      <c r="D58" s="6" t="s">
        <v>19</v>
      </c>
      <c r="E58" s="6">
        <v>2.549969688469193E-2</v>
      </c>
    </row>
    <row r="59" spans="2:5" x14ac:dyDescent="0.3">
      <c r="B59" s="6" t="s">
        <v>11</v>
      </c>
      <c r="C59" s="6">
        <v>2000</v>
      </c>
      <c r="D59" s="6" t="s">
        <v>11</v>
      </c>
      <c r="E59" s="6">
        <v>450</v>
      </c>
    </row>
    <row r="60" spans="2:5" x14ac:dyDescent="0.3">
      <c r="B60" s="6" t="s">
        <v>20</v>
      </c>
      <c r="C60" s="6">
        <v>2000</v>
      </c>
      <c r="D60" s="6" t="s">
        <v>20</v>
      </c>
      <c r="E60" s="6">
        <v>400</v>
      </c>
    </row>
    <row r="61" spans="2:5" x14ac:dyDescent="0.3">
      <c r="B61" s="6" t="s">
        <v>21</v>
      </c>
      <c r="C61" s="6">
        <v>4000</v>
      </c>
      <c r="D61" s="6" t="s">
        <v>21</v>
      </c>
      <c r="E61" s="6">
        <v>850</v>
      </c>
    </row>
    <row r="62" spans="2:5" x14ac:dyDescent="0.3">
      <c r="B62" s="6" t="s">
        <v>22</v>
      </c>
      <c r="C62" s="6">
        <v>15000</v>
      </c>
      <c r="D62" s="6" t="s">
        <v>22</v>
      </c>
      <c r="E62" s="6">
        <v>3100</v>
      </c>
    </row>
    <row r="63" spans="2:5" ht="15" thickBot="1" x14ac:dyDescent="0.35">
      <c r="B63" s="7" t="s">
        <v>23</v>
      </c>
      <c r="C63" s="7">
        <v>5</v>
      </c>
      <c r="D63" s="7" t="s">
        <v>23</v>
      </c>
      <c r="E63" s="7">
        <v>5</v>
      </c>
    </row>
    <row r="65" spans="2:10" x14ac:dyDescent="0.3">
      <c r="B65" t="s">
        <v>24</v>
      </c>
    </row>
    <row r="66" spans="2:10" ht="15" thickBot="1" x14ac:dyDescent="0.35"/>
    <row r="67" spans="2:10" x14ac:dyDescent="0.3">
      <c r="B67" s="9" t="s">
        <v>25</v>
      </c>
      <c r="C67" s="9"/>
    </row>
    <row r="68" spans="2:10" x14ac:dyDescent="0.3">
      <c r="B68" s="6" t="s">
        <v>26</v>
      </c>
      <c r="C68" s="6">
        <v>0.99183659813417557</v>
      </c>
    </row>
    <row r="69" spans="2:10" x14ac:dyDescent="0.3">
      <c r="B69" s="6" t="s">
        <v>27</v>
      </c>
      <c r="C69" s="6">
        <v>0.98373983739837401</v>
      </c>
    </row>
    <row r="70" spans="2:10" x14ac:dyDescent="0.3">
      <c r="B70" s="6" t="s">
        <v>28</v>
      </c>
      <c r="C70" s="6">
        <v>0.97831978319783197</v>
      </c>
    </row>
    <row r="71" spans="2:10" x14ac:dyDescent="0.3">
      <c r="B71" s="6" t="s">
        <v>16</v>
      </c>
      <c r="C71" s="6">
        <v>25.819888974716108</v>
      </c>
    </row>
    <row r="72" spans="2:10" ht="15" thickBot="1" x14ac:dyDescent="0.35">
      <c r="B72" s="7" t="s">
        <v>29</v>
      </c>
      <c r="C72" s="7">
        <v>5</v>
      </c>
    </row>
    <row r="74" spans="2:10" ht="15" thickBot="1" x14ac:dyDescent="0.35">
      <c r="B74" t="s">
        <v>30</v>
      </c>
    </row>
    <row r="75" spans="2:10" x14ac:dyDescent="0.3">
      <c r="B75" s="8"/>
      <c r="C75" s="8" t="s">
        <v>35</v>
      </c>
      <c r="D75" s="8" t="s">
        <v>36</v>
      </c>
      <c r="E75" s="8" t="s">
        <v>37</v>
      </c>
      <c r="F75" s="8" t="s">
        <v>38</v>
      </c>
      <c r="G75" s="8" t="s">
        <v>39</v>
      </c>
    </row>
    <row r="76" spans="2:10" x14ac:dyDescent="0.3">
      <c r="B76" s="6" t="s">
        <v>31</v>
      </c>
      <c r="C76" s="6">
        <v>1</v>
      </c>
      <c r="D76" s="6">
        <v>121000</v>
      </c>
      <c r="E76" s="6">
        <v>121000</v>
      </c>
      <c r="F76" s="6">
        <v>181.50000000000009</v>
      </c>
      <c r="G76" s="6">
        <v>8.8431727571800216E-4</v>
      </c>
    </row>
    <row r="77" spans="2:10" x14ac:dyDescent="0.3">
      <c r="B77" s="6" t="s">
        <v>32</v>
      </c>
      <c r="C77" s="6">
        <v>3</v>
      </c>
      <c r="D77" s="6">
        <v>1999.9999999999993</v>
      </c>
      <c r="E77" s="6">
        <v>666.6666666666664</v>
      </c>
      <c r="F77" s="6"/>
      <c r="G77" s="6"/>
    </row>
    <row r="78" spans="2:10" ht="15" thickBot="1" x14ac:dyDescent="0.35">
      <c r="B78" s="7" t="s">
        <v>33</v>
      </c>
      <c r="C78" s="7">
        <v>4</v>
      </c>
      <c r="D78" s="7">
        <v>123000</v>
      </c>
      <c r="E78" s="7"/>
      <c r="F78" s="7"/>
      <c r="G78" s="7"/>
    </row>
    <row r="79" spans="2:10" ht="15" thickBot="1" x14ac:dyDescent="0.35"/>
    <row r="80" spans="2:10" x14ac:dyDescent="0.3">
      <c r="B80" s="8"/>
      <c r="C80" s="8" t="s">
        <v>40</v>
      </c>
      <c r="D80" s="8" t="s">
        <v>16</v>
      </c>
      <c r="E80" s="8" t="s">
        <v>41</v>
      </c>
      <c r="F80" s="8" t="s">
        <v>42</v>
      </c>
      <c r="G80" s="8" t="s">
        <v>43</v>
      </c>
      <c r="H80" s="8" t="s">
        <v>44</v>
      </c>
      <c r="I80" s="8" t="s">
        <v>45</v>
      </c>
      <c r="J80" s="8" t="s">
        <v>46</v>
      </c>
    </row>
    <row r="81" spans="2:10" x14ac:dyDescent="0.3">
      <c r="B81" s="6" t="s">
        <v>34</v>
      </c>
      <c r="C81" s="6">
        <v>-39.999999999999886</v>
      </c>
      <c r="D81" s="6">
        <v>50.332229568471661</v>
      </c>
      <c r="E81" s="6">
        <v>-0.79471941423902404</v>
      </c>
      <c r="F81" s="6">
        <v>0.48484183718799551</v>
      </c>
      <c r="G81" s="6">
        <v>-200.17961802687398</v>
      </c>
      <c r="H81" s="6">
        <v>120.17961802687421</v>
      </c>
      <c r="I81" s="6">
        <v>-200.17961802687398</v>
      </c>
      <c r="J81" s="6">
        <v>120.17961802687421</v>
      </c>
    </row>
    <row r="82" spans="2:10" ht="15" thickBot="1" x14ac:dyDescent="0.35">
      <c r="B82" s="7" t="s">
        <v>76</v>
      </c>
      <c r="C82" s="7">
        <v>0.21999999999999995</v>
      </c>
      <c r="D82" s="7">
        <v>1.6329931618554519E-2</v>
      </c>
      <c r="E82" s="7">
        <v>13.472193585307478</v>
      </c>
      <c r="F82" s="7">
        <v>8.8431727571800357E-4</v>
      </c>
      <c r="G82" s="7">
        <v>0.16803086945499551</v>
      </c>
      <c r="H82" s="7">
        <v>0.27196913054500438</v>
      </c>
      <c r="I82" s="7">
        <v>0.16803086945499551</v>
      </c>
      <c r="J82" s="7">
        <v>0.27196913054500438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A6E2-CE2A-4525-88C2-A3634F309329}">
  <dimension ref="A1:J82"/>
  <sheetViews>
    <sheetView topLeftCell="A62" workbookViewId="0">
      <selection activeCell="E82" sqref="E82"/>
    </sheetView>
  </sheetViews>
  <sheetFormatPr defaultRowHeight="14.4" x14ac:dyDescent="0.3"/>
  <cols>
    <col min="1" max="1" width="16.109375" customWidth="1"/>
    <col min="2" max="2" width="19.33203125" customWidth="1"/>
  </cols>
  <sheetData>
    <row r="1" spans="1:3" ht="43.2" x14ac:dyDescent="0.3">
      <c r="A1" t="s">
        <v>72</v>
      </c>
      <c r="B1" s="1" t="s">
        <v>55</v>
      </c>
      <c r="C1" s="1" t="s">
        <v>48</v>
      </c>
    </row>
    <row r="2" spans="1:3" x14ac:dyDescent="0.3">
      <c r="A2">
        <v>1</v>
      </c>
      <c r="B2" s="2">
        <v>1000</v>
      </c>
      <c r="C2" s="2">
        <v>15000</v>
      </c>
    </row>
    <row r="3" spans="1:3" x14ac:dyDescent="0.3">
      <c r="A3">
        <v>2</v>
      </c>
      <c r="B3" s="2">
        <v>2000</v>
      </c>
      <c r="C3" s="2">
        <v>22000</v>
      </c>
    </row>
    <row r="4" spans="1:3" x14ac:dyDescent="0.3">
      <c r="A4">
        <v>3</v>
      </c>
      <c r="B4" s="2">
        <v>3000</v>
      </c>
      <c r="C4" s="2">
        <v>30000</v>
      </c>
    </row>
    <row r="5" spans="1:3" x14ac:dyDescent="0.3">
      <c r="A5">
        <v>4</v>
      </c>
      <c r="B5" s="2">
        <v>4000</v>
      </c>
      <c r="C5" s="2">
        <v>38000</v>
      </c>
    </row>
    <row r="6" spans="1:3" x14ac:dyDescent="0.3">
      <c r="A6">
        <v>5</v>
      </c>
      <c r="B6" s="2">
        <v>5000</v>
      </c>
      <c r="C6" s="2">
        <v>45000</v>
      </c>
    </row>
    <row r="8" spans="1:3" x14ac:dyDescent="0.3">
      <c r="A8" s="2" t="s">
        <v>8</v>
      </c>
      <c r="B8" s="2">
        <f>AVERAGE(B2:B6)</f>
        <v>3000</v>
      </c>
      <c r="C8" s="2">
        <f>AVERAGE(C2:C6)</f>
        <v>30000</v>
      </c>
    </row>
    <row r="9" spans="1:3" x14ac:dyDescent="0.3">
      <c r="A9" t="s">
        <v>9</v>
      </c>
      <c r="B9">
        <f>MEDIAN(B2:B6)</f>
        <v>3000</v>
      </c>
      <c r="C9">
        <f>MEDIAN(C2:C6)</f>
        <v>30000</v>
      </c>
    </row>
    <row r="10" spans="1:3" x14ac:dyDescent="0.3">
      <c r="A10" t="s">
        <v>10</v>
      </c>
      <c r="B10" t="e">
        <f>_xlfn.MODE.SNGL(B2:B6)</f>
        <v>#N/A</v>
      </c>
      <c r="C10" t="e">
        <f>_xlfn.MODE.SNGL(C2:C6)</f>
        <v>#N/A</v>
      </c>
    </row>
    <row r="11" spans="1:3" x14ac:dyDescent="0.3">
      <c r="A11" t="s">
        <v>11</v>
      </c>
      <c r="B11">
        <f>MAX(B2:B6)-MIN(B2:B6)</f>
        <v>4000</v>
      </c>
      <c r="C11">
        <f>MAX(C2:C6)-MIN(C2:C6)</f>
        <v>30000</v>
      </c>
    </row>
    <row r="12" spans="1:3" x14ac:dyDescent="0.3">
      <c r="A12" t="s">
        <v>12</v>
      </c>
      <c r="B12">
        <f>_xlfn.VAR.S(B2:B6)</f>
        <v>2500000</v>
      </c>
      <c r="C12">
        <f>_xlfn.VAR.S(C2:C6)</f>
        <v>144500000</v>
      </c>
    </row>
    <row r="13" spans="1:3" x14ac:dyDescent="0.3">
      <c r="A13" t="s">
        <v>13</v>
      </c>
      <c r="B13">
        <f>_xlfn.STDEV.S(B2:B6)</f>
        <v>1581.1388300841897</v>
      </c>
      <c r="C13">
        <f>_xlfn.STDEV.S(C2:C6)</f>
        <v>12020.815280171308</v>
      </c>
    </row>
    <row r="14" spans="1:3" x14ac:dyDescent="0.3">
      <c r="A14" t="s">
        <v>14</v>
      </c>
      <c r="B14">
        <f>CORREL(B2:B6,C2:C6)</f>
        <v>0.99965391935284709</v>
      </c>
      <c r="C14">
        <f>CORREL(B2:B6,C2:C6)</f>
        <v>0.99965391935284709</v>
      </c>
    </row>
    <row r="48" ht="15" thickBot="1" x14ac:dyDescent="0.35"/>
    <row r="49" spans="2:5" x14ac:dyDescent="0.3">
      <c r="B49" s="8" t="s">
        <v>15</v>
      </c>
      <c r="C49" s="8"/>
      <c r="D49" s="8" t="s">
        <v>74</v>
      </c>
      <c r="E49" s="8"/>
    </row>
    <row r="50" spans="2:5" x14ac:dyDescent="0.3">
      <c r="B50" s="6"/>
      <c r="C50" s="6"/>
      <c r="D50" s="6"/>
      <c r="E50" s="6"/>
    </row>
    <row r="51" spans="2:5" x14ac:dyDescent="0.3">
      <c r="B51" s="6" t="s">
        <v>8</v>
      </c>
      <c r="C51" s="6">
        <v>3000</v>
      </c>
      <c r="D51" s="6" t="s">
        <v>8</v>
      </c>
      <c r="E51" s="6">
        <v>30000</v>
      </c>
    </row>
    <row r="52" spans="2:5" x14ac:dyDescent="0.3">
      <c r="B52" s="6" t="s">
        <v>16</v>
      </c>
      <c r="C52" s="6">
        <v>707.10678118654755</v>
      </c>
      <c r="D52" s="6" t="s">
        <v>16</v>
      </c>
      <c r="E52" s="6">
        <v>5375.8720222862448</v>
      </c>
    </row>
    <row r="53" spans="2:5" x14ac:dyDescent="0.3">
      <c r="B53" s="6" t="s">
        <v>9</v>
      </c>
      <c r="C53" s="6">
        <v>3000</v>
      </c>
      <c r="D53" s="6" t="s">
        <v>9</v>
      </c>
      <c r="E53" s="6">
        <v>30000</v>
      </c>
    </row>
    <row r="54" spans="2:5" x14ac:dyDescent="0.3">
      <c r="B54" s="6" t="s">
        <v>10</v>
      </c>
      <c r="C54" s="6" t="e">
        <v>#N/A</v>
      </c>
      <c r="D54" s="6" t="s">
        <v>10</v>
      </c>
      <c r="E54" s="6" t="e">
        <v>#N/A</v>
      </c>
    </row>
    <row r="55" spans="2:5" x14ac:dyDescent="0.3">
      <c r="B55" s="6" t="s">
        <v>13</v>
      </c>
      <c r="C55" s="6">
        <v>1581.1388300841897</v>
      </c>
      <c r="D55" s="6" t="s">
        <v>13</v>
      </c>
      <c r="E55" s="6">
        <v>12020.815280171308</v>
      </c>
    </row>
    <row r="56" spans="2:5" x14ac:dyDescent="0.3">
      <c r="B56" s="6" t="s">
        <v>17</v>
      </c>
      <c r="C56" s="6">
        <v>2500000</v>
      </c>
      <c r="D56" s="6" t="s">
        <v>17</v>
      </c>
      <c r="E56" s="6">
        <v>144500000</v>
      </c>
    </row>
    <row r="57" spans="2:5" x14ac:dyDescent="0.3">
      <c r="B57" s="6" t="s">
        <v>18</v>
      </c>
      <c r="C57" s="6">
        <v>-1.1999999999999984</v>
      </c>
      <c r="D57" s="6" t="s">
        <v>18</v>
      </c>
      <c r="E57" s="6">
        <v>-1.4482345757354418</v>
      </c>
    </row>
    <row r="58" spans="2:5" x14ac:dyDescent="0.3">
      <c r="B58" s="6" t="s">
        <v>19</v>
      </c>
      <c r="C58" s="6">
        <v>0</v>
      </c>
      <c r="D58" s="6" t="s">
        <v>19</v>
      </c>
      <c r="E58" s="6">
        <v>9.2518585385429716E-17</v>
      </c>
    </row>
    <row r="59" spans="2:5" x14ac:dyDescent="0.3">
      <c r="B59" s="6" t="s">
        <v>11</v>
      </c>
      <c r="C59" s="6">
        <v>4000</v>
      </c>
      <c r="D59" s="6" t="s">
        <v>11</v>
      </c>
      <c r="E59" s="6">
        <v>30000</v>
      </c>
    </row>
    <row r="60" spans="2:5" x14ac:dyDescent="0.3">
      <c r="B60" s="6" t="s">
        <v>20</v>
      </c>
      <c r="C60" s="6">
        <v>1000</v>
      </c>
      <c r="D60" s="6" t="s">
        <v>20</v>
      </c>
      <c r="E60" s="6">
        <v>15000</v>
      </c>
    </row>
    <row r="61" spans="2:5" x14ac:dyDescent="0.3">
      <c r="B61" s="6" t="s">
        <v>21</v>
      </c>
      <c r="C61" s="6">
        <v>5000</v>
      </c>
      <c r="D61" s="6" t="s">
        <v>21</v>
      </c>
      <c r="E61" s="6">
        <v>45000</v>
      </c>
    </row>
    <row r="62" spans="2:5" x14ac:dyDescent="0.3">
      <c r="B62" s="6" t="s">
        <v>22</v>
      </c>
      <c r="C62" s="6">
        <v>15000</v>
      </c>
      <c r="D62" s="6" t="s">
        <v>22</v>
      </c>
      <c r="E62" s="6">
        <v>150000</v>
      </c>
    </row>
    <row r="63" spans="2:5" ht="15" thickBot="1" x14ac:dyDescent="0.35">
      <c r="B63" s="7" t="s">
        <v>23</v>
      </c>
      <c r="C63" s="7">
        <v>5</v>
      </c>
      <c r="D63" s="7" t="s">
        <v>23</v>
      </c>
      <c r="E63" s="7">
        <v>5</v>
      </c>
    </row>
    <row r="65" spans="2:10" x14ac:dyDescent="0.3">
      <c r="B65" t="s">
        <v>24</v>
      </c>
    </row>
    <row r="66" spans="2:10" ht="15" thickBot="1" x14ac:dyDescent="0.35"/>
    <row r="67" spans="2:10" x14ac:dyDescent="0.3">
      <c r="B67" s="9" t="s">
        <v>25</v>
      </c>
      <c r="C67" s="9"/>
    </row>
    <row r="68" spans="2:10" x14ac:dyDescent="0.3">
      <c r="B68" s="6" t="s">
        <v>26</v>
      </c>
      <c r="C68" s="6">
        <v>0.9996539193528472</v>
      </c>
    </row>
    <row r="69" spans="2:10" x14ac:dyDescent="0.3">
      <c r="B69" s="6" t="s">
        <v>27</v>
      </c>
      <c r="C69" s="6">
        <v>0.99930795847750864</v>
      </c>
    </row>
    <row r="70" spans="2:10" x14ac:dyDescent="0.3">
      <c r="B70" s="6" t="s">
        <v>28</v>
      </c>
      <c r="C70" s="6">
        <v>0.99907727797001156</v>
      </c>
    </row>
    <row r="71" spans="2:10" x14ac:dyDescent="0.3">
      <c r="B71" s="6" t="s">
        <v>16</v>
      </c>
      <c r="C71" s="6">
        <v>365.1483716701091</v>
      </c>
    </row>
    <row r="72" spans="2:10" ht="15" thickBot="1" x14ac:dyDescent="0.35">
      <c r="B72" s="7" t="s">
        <v>29</v>
      </c>
      <c r="C72" s="7">
        <v>5</v>
      </c>
    </row>
    <row r="74" spans="2:10" ht="15" thickBot="1" x14ac:dyDescent="0.35">
      <c r="B74" t="s">
        <v>30</v>
      </c>
    </row>
    <row r="75" spans="2:10" x14ac:dyDescent="0.3">
      <c r="B75" s="8"/>
      <c r="C75" s="8" t="s">
        <v>35</v>
      </c>
      <c r="D75" s="8" t="s">
        <v>36</v>
      </c>
      <c r="E75" s="8" t="s">
        <v>37</v>
      </c>
      <c r="F75" s="8" t="s">
        <v>38</v>
      </c>
      <c r="G75" s="8" t="s">
        <v>39</v>
      </c>
    </row>
    <row r="76" spans="2:10" x14ac:dyDescent="0.3">
      <c r="B76" s="6" t="s">
        <v>31</v>
      </c>
      <c r="C76" s="6">
        <v>1</v>
      </c>
      <c r="D76" s="6">
        <v>577600000</v>
      </c>
      <c r="E76" s="6">
        <v>577600000</v>
      </c>
      <c r="F76" s="6">
        <v>4332.0000000000391</v>
      </c>
      <c r="G76" s="6">
        <v>7.7281809511748081E-6</v>
      </c>
    </row>
    <row r="77" spans="2:10" x14ac:dyDescent="0.3">
      <c r="B77" s="6" t="s">
        <v>32</v>
      </c>
      <c r="C77" s="6">
        <v>3</v>
      </c>
      <c r="D77" s="6">
        <v>399999.99999999633</v>
      </c>
      <c r="E77" s="6">
        <v>133333.33333333212</v>
      </c>
      <c r="F77" s="6"/>
      <c r="G77" s="6"/>
    </row>
    <row r="78" spans="2:10" ht="15" thickBot="1" x14ac:dyDescent="0.35">
      <c r="B78" s="7" t="s">
        <v>33</v>
      </c>
      <c r="C78" s="7">
        <v>4</v>
      </c>
      <c r="D78" s="7">
        <v>578000000</v>
      </c>
      <c r="E78" s="7"/>
      <c r="F78" s="7"/>
      <c r="G78" s="7"/>
    </row>
    <row r="79" spans="2:10" ht="15" thickBot="1" x14ac:dyDescent="0.35"/>
    <row r="80" spans="2:10" x14ac:dyDescent="0.3">
      <c r="B80" s="8"/>
      <c r="C80" s="8" t="s">
        <v>40</v>
      </c>
      <c r="D80" s="8" t="s">
        <v>16</v>
      </c>
      <c r="E80" s="8" t="s">
        <v>41</v>
      </c>
      <c r="F80" s="8" t="s">
        <v>42</v>
      </c>
      <c r="G80" s="8" t="s">
        <v>43</v>
      </c>
      <c r="H80" s="8" t="s">
        <v>44</v>
      </c>
      <c r="I80" s="8" t="s">
        <v>45</v>
      </c>
      <c r="J80" s="8" t="s">
        <v>46</v>
      </c>
    </row>
    <row r="81" spans="2:10" x14ac:dyDescent="0.3">
      <c r="B81" s="6" t="s">
        <v>34</v>
      </c>
      <c r="C81" s="6">
        <v>7200.0000000000036</v>
      </c>
      <c r="D81" s="6">
        <v>382.97084310253348</v>
      </c>
      <c r="E81" s="6">
        <v>18.800386843215463</v>
      </c>
      <c r="F81" s="6">
        <v>3.2852212417170231E-4</v>
      </c>
      <c r="G81" s="6">
        <v>5981.2158553369591</v>
      </c>
      <c r="H81" s="6">
        <v>8418.7841446630482</v>
      </c>
      <c r="I81" s="6">
        <v>5981.2158553369591</v>
      </c>
      <c r="J81" s="6">
        <v>8418.7841446630482</v>
      </c>
    </row>
    <row r="82" spans="2:10" ht="15" thickBot="1" x14ac:dyDescent="0.35">
      <c r="B82" s="7" t="s">
        <v>76</v>
      </c>
      <c r="C82" s="7">
        <v>7.5999999999999988</v>
      </c>
      <c r="D82" s="7">
        <v>0.11547005383792464</v>
      </c>
      <c r="E82" s="7">
        <v>65.817930687617618</v>
      </c>
      <c r="F82" s="7">
        <v>7.7281809511748217E-6</v>
      </c>
      <c r="G82" s="7">
        <v>7.2325227537925842</v>
      </c>
      <c r="H82" s="7">
        <v>7.9674772462074133</v>
      </c>
      <c r="I82" s="7">
        <v>7.2325227537925842</v>
      </c>
      <c r="J82" s="7">
        <v>7.9674772462074133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AD00-5CFF-422C-B274-C8E9267F2316}">
  <dimension ref="A1:J82"/>
  <sheetViews>
    <sheetView topLeftCell="A64" workbookViewId="0">
      <selection activeCell="B65" sqref="B65:J85"/>
    </sheetView>
  </sheetViews>
  <sheetFormatPr defaultRowHeight="14.4" x14ac:dyDescent="0.3"/>
  <cols>
    <col min="1" max="1" width="16.21875" customWidth="1"/>
    <col min="2" max="2" width="19.33203125" customWidth="1"/>
  </cols>
  <sheetData>
    <row r="1" spans="1:3" ht="43.2" x14ac:dyDescent="0.3">
      <c r="A1" s="1" t="s">
        <v>56</v>
      </c>
      <c r="B1" s="1" t="s">
        <v>57</v>
      </c>
      <c r="C1" s="1" t="s">
        <v>58</v>
      </c>
    </row>
    <row r="2" spans="1:3" x14ac:dyDescent="0.3">
      <c r="A2" s="2" t="s">
        <v>59</v>
      </c>
      <c r="B2" s="2">
        <v>1</v>
      </c>
      <c r="C2" s="2">
        <v>25000</v>
      </c>
    </row>
    <row r="3" spans="1:3" x14ac:dyDescent="0.3">
      <c r="A3" s="2" t="s">
        <v>60</v>
      </c>
      <c r="B3" s="2">
        <v>2</v>
      </c>
      <c r="C3" s="2">
        <v>30000</v>
      </c>
    </row>
    <row r="4" spans="1:3" x14ac:dyDescent="0.3">
      <c r="A4" s="2" t="s">
        <v>61</v>
      </c>
      <c r="B4" s="2">
        <v>3</v>
      </c>
      <c r="C4" s="2">
        <v>35000</v>
      </c>
    </row>
    <row r="5" spans="1:3" x14ac:dyDescent="0.3">
      <c r="A5" s="2" t="s">
        <v>62</v>
      </c>
      <c r="B5" s="2">
        <v>4</v>
      </c>
      <c r="C5" s="2">
        <v>42000</v>
      </c>
    </row>
    <row r="6" spans="1:3" x14ac:dyDescent="0.3">
      <c r="A6" s="2" t="s">
        <v>63</v>
      </c>
      <c r="B6" s="2">
        <v>5</v>
      </c>
      <c r="C6" s="2">
        <v>50000</v>
      </c>
    </row>
    <row r="8" spans="1:3" x14ac:dyDescent="0.3">
      <c r="A8" s="2" t="s">
        <v>8</v>
      </c>
      <c r="B8" s="2">
        <f>AVERAGE(B2:B6)</f>
        <v>3</v>
      </c>
      <c r="C8" s="2">
        <f>AVERAGE(C2:C6)</f>
        <v>36400</v>
      </c>
    </row>
    <row r="9" spans="1:3" x14ac:dyDescent="0.3">
      <c r="A9" t="s">
        <v>9</v>
      </c>
      <c r="B9">
        <f>MEDIAN(B2:B6)</f>
        <v>3</v>
      </c>
      <c r="C9">
        <f>MEDIAN(C2:C6)</f>
        <v>35000</v>
      </c>
    </row>
    <row r="10" spans="1:3" x14ac:dyDescent="0.3">
      <c r="A10" t="s">
        <v>10</v>
      </c>
      <c r="B10" t="e">
        <f>_xlfn.MODE.SNGL(B2:B6)</f>
        <v>#N/A</v>
      </c>
      <c r="C10" t="e">
        <f>_xlfn.MODE.SNGL(C2:C6)</f>
        <v>#N/A</v>
      </c>
    </row>
    <row r="11" spans="1:3" x14ac:dyDescent="0.3">
      <c r="A11" t="s">
        <v>11</v>
      </c>
      <c r="B11">
        <f>MAX(B2:B6)-MIN(B2:B6)</f>
        <v>4</v>
      </c>
      <c r="C11">
        <f>MAX(C2:C6)-MIN(C2:C6)</f>
        <v>25000</v>
      </c>
    </row>
    <row r="12" spans="1:3" x14ac:dyDescent="0.3">
      <c r="A12" t="s">
        <v>12</v>
      </c>
      <c r="B12">
        <f>_xlfn.VAR.S(B2:B6)</f>
        <v>2.5</v>
      </c>
      <c r="C12">
        <f>_xlfn.VAR.S(C2:C6)</f>
        <v>97300000</v>
      </c>
    </row>
    <row r="13" spans="1:3" x14ac:dyDescent="0.3">
      <c r="A13" t="s">
        <v>13</v>
      </c>
      <c r="B13">
        <f>_xlfn.STDEV.S(B2:B6)</f>
        <v>1.5811388300841898</v>
      </c>
      <c r="C13">
        <f>_xlfn.STDEV.S(C2:C6)</f>
        <v>9864.0762365261562</v>
      </c>
    </row>
    <row r="14" spans="1:3" x14ac:dyDescent="0.3">
      <c r="A14" t="s">
        <v>14</v>
      </c>
      <c r="B14">
        <f>CORREL(B2:B6,C2:C6)</f>
        <v>0.99381437363812708</v>
      </c>
      <c r="C14">
        <f>CORREL(B2:B6,C2:C6)</f>
        <v>0.99381437363812708</v>
      </c>
    </row>
    <row r="29" spans="8:8" x14ac:dyDescent="0.3">
      <c r="H29" t="s">
        <v>73</v>
      </c>
    </row>
    <row r="48" ht="15" thickBot="1" x14ac:dyDescent="0.35"/>
    <row r="49" spans="2:5" x14ac:dyDescent="0.3">
      <c r="B49" s="8" t="s">
        <v>15</v>
      </c>
      <c r="C49" s="8"/>
      <c r="D49" s="8" t="s">
        <v>74</v>
      </c>
      <c r="E49" s="8"/>
    </row>
    <row r="50" spans="2:5" x14ac:dyDescent="0.3">
      <c r="B50" s="6"/>
      <c r="C50" s="6"/>
      <c r="D50" s="6"/>
      <c r="E50" s="6"/>
    </row>
    <row r="51" spans="2:5" x14ac:dyDescent="0.3">
      <c r="B51" s="6" t="s">
        <v>8</v>
      </c>
      <c r="C51" s="6">
        <v>3</v>
      </c>
      <c r="D51" s="6" t="s">
        <v>8</v>
      </c>
      <c r="E51" s="6">
        <v>36400</v>
      </c>
    </row>
    <row r="52" spans="2:5" x14ac:dyDescent="0.3">
      <c r="B52" s="6" t="s">
        <v>16</v>
      </c>
      <c r="C52" s="6">
        <v>0.70710678118654757</v>
      </c>
      <c r="D52" s="6" t="s">
        <v>16</v>
      </c>
      <c r="E52" s="6">
        <v>4411.3490000225556</v>
      </c>
    </row>
    <row r="53" spans="2:5" x14ac:dyDescent="0.3">
      <c r="B53" s="6" t="s">
        <v>9</v>
      </c>
      <c r="C53" s="6">
        <v>3</v>
      </c>
      <c r="D53" s="6" t="s">
        <v>9</v>
      </c>
      <c r="E53" s="6">
        <v>35000</v>
      </c>
    </row>
    <row r="54" spans="2:5" x14ac:dyDescent="0.3">
      <c r="B54" s="6" t="s">
        <v>10</v>
      </c>
      <c r="C54" s="6" t="e">
        <v>#N/A</v>
      </c>
      <c r="D54" s="6" t="s">
        <v>10</v>
      </c>
      <c r="E54" s="6" t="e">
        <v>#N/A</v>
      </c>
    </row>
    <row r="55" spans="2:5" x14ac:dyDescent="0.3">
      <c r="B55" s="6" t="s">
        <v>13</v>
      </c>
      <c r="C55" s="6">
        <v>1.5811388300841898</v>
      </c>
      <c r="D55" s="6" t="s">
        <v>13</v>
      </c>
      <c r="E55" s="6">
        <v>9864.0762365261562</v>
      </c>
    </row>
    <row r="56" spans="2:5" x14ac:dyDescent="0.3">
      <c r="B56" s="6" t="s">
        <v>17</v>
      </c>
      <c r="C56" s="6">
        <v>2.5</v>
      </c>
      <c r="D56" s="6" t="s">
        <v>17</v>
      </c>
      <c r="E56" s="6">
        <v>97300000</v>
      </c>
    </row>
    <row r="57" spans="2:5" x14ac:dyDescent="0.3">
      <c r="B57" s="6" t="s">
        <v>18</v>
      </c>
      <c r="C57" s="6">
        <v>-1.1999999999999984</v>
      </c>
      <c r="D57" s="6" t="s">
        <v>18</v>
      </c>
      <c r="E57" s="6">
        <v>-0.90123995356644127</v>
      </c>
    </row>
    <row r="58" spans="2:5" x14ac:dyDescent="0.3">
      <c r="B58" s="6" t="s">
        <v>19</v>
      </c>
      <c r="C58" s="6">
        <v>0</v>
      </c>
      <c r="D58" s="6" t="s">
        <v>19</v>
      </c>
      <c r="E58" s="6">
        <v>0.41009627957912909</v>
      </c>
    </row>
    <row r="59" spans="2:5" x14ac:dyDescent="0.3">
      <c r="B59" s="6" t="s">
        <v>11</v>
      </c>
      <c r="C59" s="6">
        <v>4</v>
      </c>
      <c r="D59" s="6" t="s">
        <v>11</v>
      </c>
      <c r="E59" s="6">
        <v>25000</v>
      </c>
    </row>
    <row r="60" spans="2:5" x14ac:dyDescent="0.3">
      <c r="B60" s="6" t="s">
        <v>20</v>
      </c>
      <c r="C60" s="6">
        <v>1</v>
      </c>
      <c r="D60" s="6" t="s">
        <v>20</v>
      </c>
      <c r="E60" s="6">
        <v>25000</v>
      </c>
    </row>
    <row r="61" spans="2:5" x14ac:dyDescent="0.3">
      <c r="B61" s="6" t="s">
        <v>21</v>
      </c>
      <c r="C61" s="6">
        <v>5</v>
      </c>
      <c r="D61" s="6" t="s">
        <v>21</v>
      </c>
      <c r="E61" s="6">
        <v>50000</v>
      </c>
    </row>
    <row r="62" spans="2:5" x14ac:dyDescent="0.3">
      <c r="B62" s="6" t="s">
        <v>22</v>
      </c>
      <c r="C62" s="6">
        <v>15</v>
      </c>
      <c r="D62" s="6" t="s">
        <v>22</v>
      </c>
      <c r="E62" s="6">
        <v>182000</v>
      </c>
    </row>
    <row r="63" spans="2:5" ht="15" thickBot="1" x14ac:dyDescent="0.35">
      <c r="B63" s="7" t="s">
        <v>23</v>
      </c>
      <c r="C63" s="7">
        <v>5</v>
      </c>
      <c r="D63" s="7" t="s">
        <v>23</v>
      </c>
      <c r="E63" s="7">
        <v>5</v>
      </c>
    </row>
    <row r="65" spans="2:10" x14ac:dyDescent="0.3">
      <c r="B65" t="s">
        <v>24</v>
      </c>
    </row>
    <row r="66" spans="2:10" ht="15" thickBot="1" x14ac:dyDescent="0.35"/>
    <row r="67" spans="2:10" x14ac:dyDescent="0.3">
      <c r="B67" s="9" t="s">
        <v>25</v>
      </c>
      <c r="C67" s="9"/>
    </row>
    <row r="68" spans="2:10" x14ac:dyDescent="0.3">
      <c r="B68" s="6" t="s">
        <v>26</v>
      </c>
      <c r="C68" s="6">
        <v>0.99381437363812719</v>
      </c>
    </row>
    <row r="69" spans="2:10" x14ac:dyDescent="0.3">
      <c r="B69" s="6" t="s">
        <v>27</v>
      </c>
      <c r="C69" s="6">
        <v>0.98766700924974304</v>
      </c>
    </row>
    <row r="70" spans="2:10" x14ac:dyDescent="0.3">
      <c r="B70" s="6" t="s">
        <v>28</v>
      </c>
      <c r="C70" s="6">
        <v>0.98355601233299073</v>
      </c>
    </row>
    <row r="71" spans="2:10" x14ac:dyDescent="0.3">
      <c r="B71" s="6" t="s">
        <v>16</v>
      </c>
      <c r="C71" s="6">
        <v>1264.9110640673523</v>
      </c>
    </row>
    <row r="72" spans="2:10" ht="15" thickBot="1" x14ac:dyDescent="0.35">
      <c r="B72" s="7" t="s">
        <v>29</v>
      </c>
      <c r="C72" s="7">
        <v>5</v>
      </c>
    </row>
    <row r="74" spans="2:10" ht="15" thickBot="1" x14ac:dyDescent="0.35">
      <c r="B74" t="s">
        <v>30</v>
      </c>
    </row>
    <row r="75" spans="2:10" x14ac:dyDescent="0.3">
      <c r="B75" s="8"/>
      <c r="C75" s="8" t="s">
        <v>35</v>
      </c>
      <c r="D75" s="8" t="s">
        <v>36</v>
      </c>
      <c r="E75" s="8" t="s">
        <v>37</v>
      </c>
      <c r="F75" s="8" t="s">
        <v>38</v>
      </c>
      <c r="G75" s="8" t="s">
        <v>39</v>
      </c>
    </row>
    <row r="76" spans="2:10" x14ac:dyDescent="0.3">
      <c r="B76" s="6" t="s">
        <v>31</v>
      </c>
      <c r="C76" s="6">
        <v>1</v>
      </c>
      <c r="D76" s="6">
        <v>384400000</v>
      </c>
      <c r="E76" s="6">
        <v>384400000</v>
      </c>
      <c r="F76" s="6">
        <v>240.24999999999974</v>
      </c>
      <c r="G76" s="6">
        <v>5.8345318461678329E-4</v>
      </c>
    </row>
    <row r="77" spans="2:10" x14ac:dyDescent="0.3">
      <c r="B77" s="6" t="s">
        <v>32</v>
      </c>
      <c r="C77" s="6">
        <v>3</v>
      </c>
      <c r="D77" s="6">
        <v>4800000.0000000047</v>
      </c>
      <c r="E77" s="6">
        <v>1600000.0000000016</v>
      </c>
      <c r="F77" s="6"/>
      <c r="G77" s="6"/>
    </row>
    <row r="78" spans="2:10" ht="15" thickBot="1" x14ac:dyDescent="0.35">
      <c r="B78" s="7" t="s">
        <v>33</v>
      </c>
      <c r="C78" s="7">
        <v>4</v>
      </c>
      <c r="D78" s="7">
        <v>389200000</v>
      </c>
      <c r="E78" s="7"/>
      <c r="F78" s="7"/>
      <c r="G78" s="7"/>
    </row>
    <row r="79" spans="2:10" ht="15" thickBot="1" x14ac:dyDescent="0.35"/>
    <row r="80" spans="2:10" x14ac:dyDescent="0.3">
      <c r="B80" s="8"/>
      <c r="C80" s="8" t="s">
        <v>40</v>
      </c>
      <c r="D80" s="8" t="s">
        <v>16</v>
      </c>
      <c r="E80" s="8" t="s">
        <v>41</v>
      </c>
      <c r="F80" s="8" t="s">
        <v>42</v>
      </c>
      <c r="G80" s="8" t="s">
        <v>43</v>
      </c>
      <c r="H80" s="8" t="s">
        <v>44</v>
      </c>
      <c r="I80" s="8" t="s">
        <v>45</v>
      </c>
      <c r="J80" s="8" t="s">
        <v>46</v>
      </c>
    </row>
    <row r="81" spans="2:10" x14ac:dyDescent="0.3">
      <c r="B81" s="6" t="s">
        <v>34</v>
      </c>
      <c r="C81" s="6">
        <v>17800</v>
      </c>
      <c r="D81" s="6">
        <v>1326.6499161421605</v>
      </c>
      <c r="E81" s="6">
        <v>13.417254833710476</v>
      </c>
      <c r="F81" s="6">
        <v>8.9508122819957387E-4</v>
      </c>
      <c r="G81" s="6">
        <v>13578.00787596844</v>
      </c>
      <c r="H81" s="6">
        <v>22021.99212403156</v>
      </c>
      <c r="I81" s="6">
        <v>13578.00787596844</v>
      </c>
      <c r="J81" s="6">
        <v>22021.99212403156</v>
      </c>
    </row>
    <row r="82" spans="2:10" ht="15" thickBot="1" x14ac:dyDescent="0.35">
      <c r="B82" s="7" t="s">
        <v>76</v>
      </c>
      <c r="C82" s="7">
        <v>6200</v>
      </c>
      <c r="D82" s="7">
        <v>400.00000000000017</v>
      </c>
      <c r="E82" s="7">
        <v>15.499999999999993</v>
      </c>
      <c r="F82" s="7">
        <v>5.834531846167822E-4</v>
      </c>
      <c r="G82" s="7">
        <v>4927.0214778865156</v>
      </c>
      <c r="H82" s="7">
        <v>7472.9785221134844</v>
      </c>
      <c r="I82" s="7">
        <v>4927.0214778865156</v>
      </c>
      <c r="J82" s="7">
        <v>7472.9785221134844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6A8C-74CA-4CD8-92DC-F34FAF692329}">
  <dimension ref="A1:J82"/>
  <sheetViews>
    <sheetView topLeftCell="A69" workbookViewId="0">
      <selection activeCell="E84" sqref="E84"/>
    </sheetView>
  </sheetViews>
  <sheetFormatPr defaultRowHeight="14.4" x14ac:dyDescent="0.3"/>
  <cols>
    <col min="1" max="1" width="16.77734375" customWidth="1"/>
    <col min="3" max="3" width="9.21875" customWidth="1"/>
  </cols>
  <sheetData>
    <row r="1" spans="1:4" x14ac:dyDescent="0.3">
      <c r="A1" s="1" t="s">
        <v>0</v>
      </c>
      <c r="B1" s="1" t="s">
        <v>64</v>
      </c>
      <c r="C1" s="1" t="s">
        <v>65</v>
      </c>
      <c r="D1" s="1" t="s">
        <v>66</v>
      </c>
    </row>
    <row r="2" spans="1:4" x14ac:dyDescent="0.3">
      <c r="A2" s="2" t="s">
        <v>67</v>
      </c>
      <c r="B2" s="2">
        <v>70</v>
      </c>
      <c r="C2" s="2">
        <v>65</v>
      </c>
      <c r="D2" s="2">
        <v>72</v>
      </c>
    </row>
    <row r="3" spans="1:4" x14ac:dyDescent="0.3">
      <c r="A3" s="2" t="s">
        <v>68</v>
      </c>
      <c r="B3" s="2">
        <v>75</v>
      </c>
      <c r="C3" s="2">
        <v>70</v>
      </c>
      <c r="D3" s="2">
        <v>74</v>
      </c>
    </row>
    <row r="4" spans="1:4" x14ac:dyDescent="0.3">
      <c r="A4" s="2" t="s">
        <v>69</v>
      </c>
      <c r="B4" s="2">
        <v>80</v>
      </c>
      <c r="C4" s="2">
        <v>78</v>
      </c>
      <c r="D4" s="2">
        <v>79</v>
      </c>
    </row>
    <row r="5" spans="1:4" x14ac:dyDescent="0.3">
      <c r="A5" s="2" t="s">
        <v>70</v>
      </c>
      <c r="B5" s="2">
        <v>85</v>
      </c>
      <c r="C5" s="2">
        <v>82</v>
      </c>
      <c r="D5" s="2">
        <v>84</v>
      </c>
    </row>
    <row r="6" spans="1:4" x14ac:dyDescent="0.3">
      <c r="A6" s="2" t="s">
        <v>71</v>
      </c>
      <c r="B6" s="2">
        <v>90</v>
      </c>
      <c r="C6" s="2">
        <v>88</v>
      </c>
      <c r="D6" s="2">
        <v>91</v>
      </c>
    </row>
    <row r="8" spans="1:4" x14ac:dyDescent="0.3">
      <c r="A8" s="2" t="s">
        <v>8</v>
      </c>
      <c r="B8" s="2">
        <f>AVERAGE(B2:B6)</f>
        <v>80</v>
      </c>
      <c r="C8" s="2">
        <f t="shared" ref="C8:D8" si="0">AVERAGE(C2:C6)</f>
        <v>76.599999999999994</v>
      </c>
      <c r="D8" s="2">
        <f t="shared" si="0"/>
        <v>80</v>
      </c>
    </row>
    <row r="9" spans="1:4" x14ac:dyDescent="0.3">
      <c r="A9" t="s">
        <v>9</v>
      </c>
      <c r="B9">
        <f>MEDIAN(B2:B6)</f>
        <v>80</v>
      </c>
      <c r="C9">
        <f t="shared" ref="C9:D9" si="1">MEDIAN(C2:C6)</f>
        <v>78</v>
      </c>
      <c r="D9">
        <f t="shared" si="1"/>
        <v>79</v>
      </c>
    </row>
    <row r="10" spans="1:4" x14ac:dyDescent="0.3">
      <c r="A10" t="s">
        <v>10</v>
      </c>
      <c r="B10" t="e">
        <f>_xlfn.MODE.SNGL(B2:B6)</f>
        <v>#N/A</v>
      </c>
      <c r="C10" t="e">
        <f t="shared" ref="C10:D10" si="2">_xlfn.MODE.SNGL(C2:C6)</f>
        <v>#N/A</v>
      </c>
      <c r="D10" t="e">
        <f t="shared" si="2"/>
        <v>#N/A</v>
      </c>
    </row>
    <row r="11" spans="1:4" x14ac:dyDescent="0.3">
      <c r="A11" t="s">
        <v>11</v>
      </c>
      <c r="B11">
        <f>MAX(B2:B6)-MIN(B2:B6)</f>
        <v>20</v>
      </c>
      <c r="C11">
        <f t="shared" ref="C11:D11" si="3">MAX(C2:C6)-MIN(C2:C6)</f>
        <v>23</v>
      </c>
      <c r="D11">
        <f t="shared" si="3"/>
        <v>19</v>
      </c>
    </row>
    <row r="12" spans="1:4" x14ac:dyDescent="0.3">
      <c r="A12" t="s">
        <v>12</v>
      </c>
      <c r="B12">
        <f>_xlfn.VAR.S(B2:B6)</f>
        <v>62.5</v>
      </c>
      <c r="C12">
        <f t="shared" ref="C12:D12" si="4">_xlfn.VAR.S(C2:C6)</f>
        <v>84.800000000000182</v>
      </c>
      <c r="D12">
        <f t="shared" si="4"/>
        <v>59.5</v>
      </c>
    </row>
    <row r="13" spans="1:4" x14ac:dyDescent="0.3">
      <c r="A13" t="s">
        <v>13</v>
      </c>
      <c r="B13">
        <f>_xlfn.STDEV.S(B2:B6)</f>
        <v>7.9056941504209481</v>
      </c>
      <c r="C13">
        <f t="shared" ref="C13:D13" si="5">_xlfn.STDEV.S(C2:C6)</f>
        <v>9.2086915465770804</v>
      </c>
      <c r="D13">
        <f t="shared" si="5"/>
        <v>7.713624310270756</v>
      </c>
    </row>
    <row r="14" spans="1:4" x14ac:dyDescent="0.3">
      <c r="A14" t="s">
        <v>14</v>
      </c>
      <c r="B14">
        <f>CORREL(B2:B6,C2:C6)</f>
        <v>0.99586408862799547</v>
      </c>
      <c r="C14">
        <f t="shared" ref="C14:D14" si="6">CORREL(C2:C6,D2:D6)</f>
        <v>0.97842692545437382</v>
      </c>
      <c r="D14">
        <f>CORREL(D2:D6,B2:B6)</f>
        <v>0.98390407402894531</v>
      </c>
    </row>
    <row r="48" ht="15" thickBot="1" x14ac:dyDescent="0.35"/>
    <row r="49" spans="2:7" x14ac:dyDescent="0.3">
      <c r="B49" s="8" t="s">
        <v>15</v>
      </c>
      <c r="C49" s="8"/>
      <c r="D49" s="8" t="s">
        <v>74</v>
      </c>
      <c r="E49" s="8"/>
      <c r="F49" s="8" t="s">
        <v>75</v>
      </c>
      <c r="G49" s="8"/>
    </row>
    <row r="50" spans="2:7" x14ac:dyDescent="0.3">
      <c r="B50" s="6"/>
      <c r="C50" s="6"/>
      <c r="D50" s="6"/>
      <c r="E50" s="6"/>
      <c r="F50" s="6"/>
      <c r="G50" s="6"/>
    </row>
    <row r="51" spans="2:7" x14ac:dyDescent="0.3">
      <c r="B51" s="6" t="s">
        <v>8</v>
      </c>
      <c r="C51" s="6">
        <v>80</v>
      </c>
      <c r="D51" s="6" t="s">
        <v>8</v>
      </c>
      <c r="E51" s="6">
        <v>76.599999999999994</v>
      </c>
      <c r="F51" s="6" t="s">
        <v>8</v>
      </c>
      <c r="G51" s="6">
        <v>80</v>
      </c>
    </row>
    <row r="52" spans="2:7" x14ac:dyDescent="0.3">
      <c r="B52" s="6" t="s">
        <v>16</v>
      </c>
      <c r="C52" s="6">
        <v>3.5355339059327373</v>
      </c>
      <c r="D52" s="6" t="s">
        <v>16</v>
      </c>
      <c r="E52" s="6">
        <v>4.1182520563948044</v>
      </c>
      <c r="F52" s="6" t="s">
        <v>16</v>
      </c>
      <c r="G52" s="6">
        <v>3.4496376621320679</v>
      </c>
    </row>
    <row r="53" spans="2:7" x14ac:dyDescent="0.3">
      <c r="B53" s="6" t="s">
        <v>9</v>
      </c>
      <c r="C53" s="6">
        <v>80</v>
      </c>
      <c r="D53" s="6" t="s">
        <v>9</v>
      </c>
      <c r="E53" s="6">
        <v>78</v>
      </c>
      <c r="F53" s="6" t="s">
        <v>9</v>
      </c>
      <c r="G53" s="6">
        <v>79</v>
      </c>
    </row>
    <row r="54" spans="2:7" x14ac:dyDescent="0.3">
      <c r="B54" s="6" t="s">
        <v>10</v>
      </c>
      <c r="C54" s="6" t="e">
        <v>#N/A</v>
      </c>
      <c r="D54" s="6" t="s">
        <v>10</v>
      </c>
      <c r="E54" s="6" t="e">
        <v>#N/A</v>
      </c>
      <c r="F54" s="6" t="s">
        <v>10</v>
      </c>
      <c r="G54" s="6" t="e">
        <v>#N/A</v>
      </c>
    </row>
    <row r="55" spans="2:7" x14ac:dyDescent="0.3">
      <c r="B55" s="6" t="s">
        <v>13</v>
      </c>
      <c r="C55" s="6">
        <v>7.9056941504209481</v>
      </c>
      <c r="D55" s="6" t="s">
        <v>13</v>
      </c>
      <c r="E55" s="6">
        <v>9.2086915465770804</v>
      </c>
      <c r="F55" s="6" t="s">
        <v>13</v>
      </c>
      <c r="G55" s="6">
        <v>7.713624310270756</v>
      </c>
    </row>
    <row r="56" spans="2:7" x14ac:dyDescent="0.3">
      <c r="B56" s="6" t="s">
        <v>17</v>
      </c>
      <c r="C56" s="6">
        <v>62.5</v>
      </c>
      <c r="D56" s="6" t="s">
        <v>17</v>
      </c>
      <c r="E56" s="6">
        <v>84.800000000000182</v>
      </c>
      <c r="F56" s="6" t="s">
        <v>17</v>
      </c>
      <c r="G56" s="6">
        <v>59.5</v>
      </c>
    </row>
    <row r="57" spans="2:7" x14ac:dyDescent="0.3">
      <c r="B57" s="6" t="s">
        <v>18</v>
      </c>
      <c r="C57" s="6">
        <v>-1.1999999999999984</v>
      </c>
      <c r="D57" s="6" t="s">
        <v>18</v>
      </c>
      <c r="E57" s="6">
        <v>-1.4384289337842624</v>
      </c>
      <c r="F57" s="6" t="s">
        <v>18</v>
      </c>
      <c r="G57" s="6">
        <v>-0.83595791257679508</v>
      </c>
    </row>
    <row r="58" spans="2:7" x14ac:dyDescent="0.3">
      <c r="B58" s="6" t="s">
        <v>19</v>
      </c>
      <c r="C58" s="6">
        <v>0</v>
      </c>
      <c r="D58" s="6" t="s">
        <v>19</v>
      </c>
      <c r="E58" s="6">
        <v>-0.1102578128004105</v>
      </c>
      <c r="F58" s="6" t="s">
        <v>19</v>
      </c>
      <c r="G58" s="6">
        <v>0.60462700264109448</v>
      </c>
    </row>
    <row r="59" spans="2:7" x14ac:dyDescent="0.3">
      <c r="B59" s="6" t="s">
        <v>11</v>
      </c>
      <c r="C59" s="6">
        <v>20</v>
      </c>
      <c r="D59" s="6" t="s">
        <v>11</v>
      </c>
      <c r="E59" s="6">
        <v>23</v>
      </c>
      <c r="F59" s="6" t="s">
        <v>11</v>
      </c>
      <c r="G59" s="6">
        <v>19</v>
      </c>
    </row>
    <row r="60" spans="2:7" x14ac:dyDescent="0.3">
      <c r="B60" s="6" t="s">
        <v>20</v>
      </c>
      <c r="C60" s="6">
        <v>70</v>
      </c>
      <c r="D60" s="6" t="s">
        <v>20</v>
      </c>
      <c r="E60" s="6">
        <v>65</v>
      </c>
      <c r="F60" s="6" t="s">
        <v>20</v>
      </c>
      <c r="G60" s="6">
        <v>72</v>
      </c>
    </row>
    <row r="61" spans="2:7" x14ac:dyDescent="0.3">
      <c r="B61" s="6" t="s">
        <v>21</v>
      </c>
      <c r="C61" s="6">
        <v>90</v>
      </c>
      <c r="D61" s="6" t="s">
        <v>21</v>
      </c>
      <c r="E61" s="6">
        <v>88</v>
      </c>
      <c r="F61" s="6" t="s">
        <v>21</v>
      </c>
      <c r="G61" s="6">
        <v>91</v>
      </c>
    </row>
    <row r="62" spans="2:7" x14ac:dyDescent="0.3">
      <c r="B62" s="6" t="s">
        <v>22</v>
      </c>
      <c r="C62" s="6">
        <v>400</v>
      </c>
      <c r="D62" s="6" t="s">
        <v>22</v>
      </c>
      <c r="E62" s="6">
        <v>383</v>
      </c>
      <c r="F62" s="6" t="s">
        <v>22</v>
      </c>
      <c r="G62" s="6">
        <v>400</v>
      </c>
    </row>
    <row r="63" spans="2:7" ht="15" thickBot="1" x14ac:dyDescent="0.35">
      <c r="B63" s="7" t="s">
        <v>23</v>
      </c>
      <c r="C63" s="7">
        <v>5</v>
      </c>
      <c r="D63" s="7" t="s">
        <v>23</v>
      </c>
      <c r="E63" s="7">
        <v>5</v>
      </c>
      <c r="F63" s="7" t="s">
        <v>23</v>
      </c>
      <c r="G63" s="7">
        <v>5</v>
      </c>
    </row>
    <row r="65" spans="2:10" x14ac:dyDescent="0.3">
      <c r="B65" t="s">
        <v>24</v>
      </c>
    </row>
    <row r="66" spans="2:10" ht="15" thickBot="1" x14ac:dyDescent="0.35"/>
    <row r="67" spans="2:10" x14ac:dyDescent="0.3">
      <c r="B67" s="9" t="s">
        <v>25</v>
      </c>
      <c r="C67" s="9"/>
    </row>
    <row r="68" spans="2:10" x14ac:dyDescent="0.3">
      <c r="B68" s="6" t="s">
        <v>26</v>
      </c>
      <c r="C68" s="6">
        <v>0.99586408862799536</v>
      </c>
    </row>
    <row r="69" spans="2:10" x14ac:dyDescent="0.3">
      <c r="B69" s="6" t="s">
        <v>27</v>
      </c>
      <c r="C69" s="6">
        <v>0.99174528301886788</v>
      </c>
    </row>
    <row r="70" spans="2:10" x14ac:dyDescent="0.3">
      <c r="B70" s="6" t="s">
        <v>28</v>
      </c>
      <c r="C70" s="6">
        <v>0.98899371069182385</v>
      </c>
    </row>
    <row r="71" spans="2:10" x14ac:dyDescent="0.3">
      <c r="B71" s="6" t="s">
        <v>16</v>
      </c>
      <c r="C71" s="6">
        <v>0.96609178307929544</v>
      </c>
    </row>
    <row r="72" spans="2:10" ht="15" thickBot="1" x14ac:dyDescent="0.35">
      <c r="B72" s="7" t="s">
        <v>29</v>
      </c>
      <c r="C72" s="7">
        <v>5</v>
      </c>
    </row>
    <row r="74" spans="2:10" ht="15" thickBot="1" x14ac:dyDescent="0.35">
      <c r="B74" t="s">
        <v>30</v>
      </c>
    </row>
    <row r="75" spans="2:10" x14ac:dyDescent="0.3">
      <c r="B75" s="8"/>
      <c r="C75" s="8" t="s">
        <v>35</v>
      </c>
      <c r="D75" s="8" t="s">
        <v>36</v>
      </c>
      <c r="E75" s="8" t="s">
        <v>37</v>
      </c>
      <c r="F75" s="8" t="s">
        <v>38</v>
      </c>
      <c r="G75" s="8" t="s">
        <v>39</v>
      </c>
    </row>
    <row r="76" spans="2:10" x14ac:dyDescent="0.3">
      <c r="B76" s="6" t="s">
        <v>31</v>
      </c>
      <c r="C76" s="6">
        <v>1</v>
      </c>
      <c r="D76" s="6">
        <v>336.39999999999992</v>
      </c>
      <c r="E76" s="6">
        <v>336.39999999999992</v>
      </c>
      <c r="F76" s="6">
        <v>360.42857142857173</v>
      </c>
      <c r="G76" s="6">
        <v>3.1909579359365204E-4</v>
      </c>
    </row>
    <row r="77" spans="2:10" x14ac:dyDescent="0.3">
      <c r="B77" s="6" t="s">
        <v>32</v>
      </c>
      <c r="C77" s="6">
        <v>3</v>
      </c>
      <c r="D77" s="6">
        <v>2.7999999999999972</v>
      </c>
      <c r="E77" s="6">
        <v>0.93333333333333235</v>
      </c>
      <c r="F77" s="6"/>
      <c r="G77" s="6"/>
    </row>
    <row r="78" spans="2:10" ht="15" thickBot="1" x14ac:dyDescent="0.35">
      <c r="B78" s="7" t="s">
        <v>33</v>
      </c>
      <c r="C78" s="7">
        <v>4</v>
      </c>
      <c r="D78" s="7">
        <v>339.19999999999993</v>
      </c>
      <c r="E78" s="7"/>
      <c r="F78" s="7"/>
      <c r="G78" s="7"/>
    </row>
    <row r="79" spans="2:10" ht="15" thickBot="1" x14ac:dyDescent="0.35"/>
    <row r="80" spans="2:10" x14ac:dyDescent="0.3">
      <c r="B80" s="8"/>
      <c r="C80" s="8" t="s">
        <v>40</v>
      </c>
      <c r="D80" s="8" t="s">
        <v>16</v>
      </c>
      <c r="E80" s="8" t="s">
        <v>41</v>
      </c>
      <c r="F80" s="8" t="s">
        <v>42</v>
      </c>
      <c r="G80" s="8" t="s">
        <v>43</v>
      </c>
      <c r="H80" s="8" t="s">
        <v>44</v>
      </c>
      <c r="I80" s="8" t="s">
        <v>45</v>
      </c>
      <c r="J80" s="8" t="s">
        <v>46</v>
      </c>
    </row>
    <row r="81" spans="2:10" x14ac:dyDescent="0.3">
      <c r="B81" s="6" t="s">
        <v>34</v>
      </c>
      <c r="C81" s="6">
        <v>-16.199999999999989</v>
      </c>
      <c r="D81" s="6">
        <v>4.9071376585541158</v>
      </c>
      <c r="E81" s="6">
        <v>-3.3013135410538506</v>
      </c>
      <c r="F81" s="6">
        <v>4.5688435336274306E-2</v>
      </c>
      <c r="G81" s="6">
        <v>-31.816702110984085</v>
      </c>
      <c r="H81" s="6">
        <v>-0.58329788901589197</v>
      </c>
      <c r="I81" s="6">
        <v>-31.816702110984085</v>
      </c>
      <c r="J81" s="6">
        <v>-0.58329788901589197</v>
      </c>
    </row>
    <row r="82" spans="2:10" ht="15" thickBot="1" x14ac:dyDescent="0.35">
      <c r="B82" s="7" t="s">
        <v>76</v>
      </c>
      <c r="C82" s="7">
        <v>1.1599999999999997</v>
      </c>
      <c r="D82" s="7">
        <v>6.1101009266077824E-2</v>
      </c>
      <c r="E82" s="7">
        <v>18.984956450531346</v>
      </c>
      <c r="F82" s="7">
        <v>3.1909579359365204E-4</v>
      </c>
      <c r="G82" s="7">
        <v>0.96554931881206463</v>
      </c>
      <c r="H82" s="7">
        <v>1.3544506811879347</v>
      </c>
      <c r="I82" s="7">
        <v>0.96554931881206463</v>
      </c>
      <c r="J82" s="7">
        <v>1.3544506811879347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961F-7F66-443E-8C93-6211EC2EDC1D}">
  <dimension ref="A1"/>
  <sheetViews>
    <sheetView tabSelected="1" topLeftCell="E1" workbookViewId="0">
      <selection activeCell="K14" sqref="K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ammu</dc:creator>
  <cp:lastModifiedBy>amrutha ammu</cp:lastModifiedBy>
  <dcterms:created xsi:type="dcterms:W3CDTF">2026-05-26T08:30:29Z</dcterms:created>
  <dcterms:modified xsi:type="dcterms:W3CDTF">2026-05-26T17:28:30Z</dcterms:modified>
</cp:coreProperties>
</file>